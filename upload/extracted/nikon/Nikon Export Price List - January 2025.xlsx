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Y:\Price Lists\2025\1.January\"/>
    </mc:Choice>
  </mc:AlternateContent>
  <xr:revisionPtr revIDLastSave="0" documentId="8_{972133BD-FFB3-4A33-9E36-C88AFDE35608}" xr6:coauthVersionLast="47" xr6:coauthVersionMax="47" xr10:uidLastSave="{00000000-0000-0000-0000-000000000000}"/>
  <bookViews>
    <workbookView xWindow="28680" yWindow="-120" windowWidth="29040" windowHeight="15720" tabRatio="952" xr2:uid="{00000000-000D-0000-FFFF-FFFF00000000}"/>
  </bookViews>
  <sheets>
    <sheet name="Index" sheetId="14" r:id="rId1"/>
    <sheet name="Z9" sheetId="59" r:id="rId2"/>
    <sheet name="Z8" sheetId="60" r:id="rId3"/>
    <sheet name="Z7 II" sheetId="61" r:id="rId4"/>
    <sheet name="Z6 III" sheetId="79" r:id="rId5"/>
    <sheet name="Z6 II" sheetId="64" r:id="rId6"/>
    <sheet name="Z5" sheetId="65" r:id="rId7"/>
    <sheet name="Z f" sheetId="78" r:id="rId8"/>
    <sheet name="Z fc" sheetId="66" r:id="rId9"/>
    <sheet name="Z50 II" sheetId="81" r:id="rId10"/>
    <sheet name="Z30" sheetId="68" r:id="rId11"/>
    <sheet name="Z Lenses - Wide Angle" sheetId="69" r:id="rId12"/>
    <sheet name="Z Lenses - Standard" sheetId="70" r:id="rId13"/>
    <sheet name="Z Lenses - Zoom" sheetId="71" r:id="rId14"/>
    <sheet name="Z Lenses - Converters" sheetId="72" r:id="rId15"/>
    <sheet name="Speedlights" sheetId="73" r:id="rId16"/>
    <sheet name="Compact Digital Cameras" sheetId="74" r:id="rId17"/>
    <sheet name="Product List" sheetId="44" r:id="rId18"/>
    <sheet name="Miscellaneous" sheetId="77" r:id="rId19"/>
    <sheet name="Master Sheet" sheetId="28" state="hidden" r:id="rId20"/>
  </sheets>
  <definedNames>
    <definedName name="_xlnm._FilterDatabase" localSheetId="19" hidden="1">'Master Sheet'!$A$2:$AE$194</definedName>
    <definedName name="_xlnm.Print_Area" localSheetId="16">'Compact Digital Cameras'!$A$1:$M$25</definedName>
    <definedName name="_xlnm.Print_Area" localSheetId="18">Miscellaneous!$A$1:$N$245</definedName>
    <definedName name="_xlnm.Print_Area" localSheetId="17">'Product List'!$A$1:$N$386</definedName>
    <definedName name="_xlnm.Print_Area" localSheetId="15">Speedlights!$A$1:$M$27</definedName>
    <definedName name="_xlnm.Print_Area" localSheetId="7">'Z f'!$A$1:$M$63</definedName>
    <definedName name="_xlnm.Print_Area" localSheetId="8">'Z fc'!$A$1:$M$61</definedName>
    <definedName name="_xlnm.Print_Area" localSheetId="14">'Z Lenses - Converters'!$A$1:$M$30</definedName>
    <definedName name="_xlnm.Print_Area" localSheetId="12">'Z Lenses - Standard'!$A$1:$M$77</definedName>
    <definedName name="_xlnm.Print_Area" localSheetId="11">'Z Lenses - Wide Angle'!$A$1:$M$94</definedName>
    <definedName name="_xlnm.Print_Area" localSheetId="13">'Z Lenses - Zoom'!$A$1:$M$96</definedName>
    <definedName name="_xlnm.Print_Area" localSheetId="10">'Z30'!$A$1:$M$58</definedName>
    <definedName name="_xlnm.Print_Area" localSheetId="6">'Z5'!$A$1:$M$69</definedName>
    <definedName name="_xlnm.Print_Area" localSheetId="9">'Z50 II'!$A$1:$M$67</definedName>
    <definedName name="_xlnm.Print_Area" localSheetId="5">'Z6 II'!$A$1:$M$68</definedName>
    <definedName name="_xlnm.Print_Area" localSheetId="4">'Z6 III'!$A$1:$M$67</definedName>
    <definedName name="_xlnm.Print_Area" localSheetId="3">'Z7 II'!$A$1:$M$68</definedName>
    <definedName name="_xlnm.Print_Area" localSheetId="2">'Z8'!$A$1:$M$57</definedName>
    <definedName name="_xlnm.Print_Area" localSheetId="1">'Z9'!$A$1:$M$61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8" l="1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J62" i="28"/>
  <c r="J63" i="28"/>
  <c r="J64" i="28"/>
  <c r="J65" i="28"/>
  <c r="J66" i="28"/>
  <c r="J67" i="28"/>
  <c r="J68" i="28"/>
  <c r="J69" i="28"/>
  <c r="J70" i="28"/>
  <c r="J71" i="28"/>
  <c r="J72" i="28"/>
  <c r="J73" i="28"/>
  <c r="J74" i="28"/>
  <c r="J75" i="28"/>
  <c r="J76" i="28"/>
  <c r="J77" i="28"/>
  <c r="J78" i="28"/>
  <c r="J79" i="28"/>
  <c r="J80" i="28"/>
  <c r="J81" i="28"/>
  <c r="J82" i="28"/>
  <c r="J83" i="28"/>
  <c r="J84" i="28"/>
  <c r="J85" i="28"/>
  <c r="J86" i="28"/>
  <c r="J87" i="28"/>
  <c r="J88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145" i="28"/>
  <c r="J146" i="28"/>
  <c r="J147" i="28"/>
  <c r="J148" i="28"/>
  <c r="J149" i="28"/>
  <c r="J150" i="28"/>
  <c r="J151" i="28"/>
  <c r="J152" i="28"/>
  <c r="J153" i="28"/>
  <c r="J154" i="28"/>
  <c r="J155" i="28"/>
  <c r="J156" i="28"/>
  <c r="J157" i="28"/>
  <c r="J158" i="28"/>
  <c r="J159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3" i="28"/>
  <c r="J174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3" i="28"/>
  <c r="K172" i="44"/>
  <c r="J172" i="44"/>
  <c r="I172" i="44"/>
  <c r="G172" i="44"/>
  <c r="K171" i="44"/>
  <c r="J171" i="44"/>
  <c r="I171" i="44"/>
  <c r="G171" i="44"/>
  <c r="K170" i="44"/>
  <c r="J170" i="44"/>
  <c r="I170" i="44"/>
  <c r="G170" i="44"/>
  <c r="K169" i="44"/>
  <c r="J169" i="44"/>
  <c r="I169" i="44"/>
  <c r="G169" i="44"/>
  <c r="K168" i="44"/>
  <c r="J168" i="44"/>
  <c r="I168" i="44"/>
  <c r="G168" i="44"/>
  <c r="K167" i="44"/>
  <c r="J167" i="44"/>
  <c r="I167" i="44"/>
  <c r="G167" i="44"/>
  <c r="K166" i="44"/>
  <c r="J166" i="44"/>
  <c r="I166" i="44"/>
  <c r="G166" i="44"/>
  <c r="K165" i="44"/>
  <c r="J165" i="44"/>
  <c r="I165" i="44"/>
  <c r="G165" i="44"/>
  <c r="K164" i="44"/>
  <c r="J164" i="44"/>
  <c r="I164" i="44"/>
  <c r="G164" i="44"/>
  <c r="K163" i="44"/>
  <c r="J163" i="44"/>
  <c r="I163" i="44"/>
  <c r="G163" i="44"/>
  <c r="K162" i="44"/>
  <c r="J162" i="44"/>
  <c r="I162" i="44"/>
  <c r="G162" i="44"/>
  <c r="K161" i="44"/>
  <c r="J161" i="44"/>
  <c r="I161" i="44"/>
  <c r="G161" i="44"/>
  <c r="K160" i="44"/>
  <c r="J160" i="44"/>
  <c r="I160" i="44"/>
  <c r="G160" i="44"/>
  <c r="K159" i="44"/>
  <c r="J159" i="44"/>
  <c r="I159" i="44"/>
  <c r="G159" i="44"/>
  <c r="K158" i="44"/>
  <c r="J158" i="44"/>
  <c r="I158" i="44"/>
  <c r="G158" i="44"/>
  <c r="K157" i="44"/>
  <c r="J157" i="44"/>
  <c r="I157" i="44"/>
  <c r="G157" i="44"/>
  <c r="K156" i="44"/>
  <c r="J156" i="44"/>
  <c r="I156" i="44"/>
  <c r="G156" i="44"/>
  <c r="K155" i="44"/>
  <c r="J155" i="44"/>
  <c r="I155" i="44"/>
  <c r="G155" i="44"/>
  <c r="K40" i="77" l="1"/>
  <c r="J40" i="77"/>
  <c r="I40" i="77"/>
  <c r="G40" i="77"/>
  <c r="K39" i="77"/>
  <c r="J39" i="77"/>
  <c r="G39" i="77"/>
  <c r="K38" i="77"/>
  <c r="J38" i="77"/>
  <c r="I38" i="77"/>
  <c r="G38" i="77"/>
  <c r="K37" i="77"/>
  <c r="J37" i="77"/>
  <c r="I37" i="77"/>
  <c r="G37" i="77"/>
  <c r="K36" i="77"/>
  <c r="J36" i="77"/>
  <c r="I36" i="77"/>
  <c r="G36" i="77"/>
  <c r="K35" i="77"/>
  <c r="J35" i="77"/>
  <c r="I35" i="77"/>
  <c r="G35" i="77"/>
  <c r="K34" i="77"/>
  <c r="J34" i="77"/>
  <c r="G34" i="77"/>
  <c r="K33" i="77"/>
  <c r="J33" i="77"/>
  <c r="I33" i="77"/>
  <c r="G33" i="77"/>
  <c r="K32" i="77"/>
  <c r="J32" i="77"/>
  <c r="I32" i="77"/>
  <c r="G32" i="77"/>
  <c r="K31" i="77"/>
  <c r="J31" i="77"/>
  <c r="I31" i="77"/>
  <c r="G31" i="77"/>
  <c r="K30" i="77"/>
  <c r="J30" i="77"/>
  <c r="I30" i="77"/>
  <c r="G30" i="77"/>
  <c r="K29" i="77"/>
  <c r="J29" i="77"/>
  <c r="G29" i="77"/>
  <c r="K28" i="77"/>
  <c r="J28" i="77"/>
  <c r="I28" i="77"/>
  <c r="G28" i="77"/>
  <c r="K27" i="77"/>
  <c r="J27" i="77"/>
  <c r="I27" i="77"/>
  <c r="G27" i="77"/>
  <c r="K182" i="44"/>
  <c r="J182" i="44"/>
  <c r="I182" i="44"/>
  <c r="G182" i="44"/>
  <c r="K149" i="44"/>
  <c r="J149" i="44"/>
  <c r="I149" i="44"/>
  <c r="G149" i="44"/>
  <c r="K192" i="44"/>
  <c r="J192" i="44"/>
  <c r="I192" i="44"/>
  <c r="G192" i="44"/>
  <c r="K191" i="44"/>
  <c r="J191" i="44"/>
  <c r="I191" i="44"/>
  <c r="G191" i="44"/>
  <c r="K190" i="44"/>
  <c r="J190" i="44"/>
  <c r="I190" i="44"/>
  <c r="G190" i="44"/>
  <c r="K189" i="44"/>
  <c r="J189" i="44"/>
  <c r="I189" i="44"/>
  <c r="G189" i="44"/>
  <c r="K188" i="44"/>
  <c r="J188" i="44"/>
  <c r="I188" i="44"/>
  <c r="G188" i="44"/>
  <c r="K187" i="44"/>
  <c r="J187" i="44"/>
  <c r="I187" i="44"/>
  <c r="G187" i="44"/>
  <c r="K186" i="44"/>
  <c r="J186" i="44"/>
  <c r="I186" i="44"/>
  <c r="G186" i="44"/>
  <c r="K185" i="44"/>
  <c r="J185" i="44"/>
  <c r="I185" i="44"/>
  <c r="G185" i="44"/>
  <c r="K184" i="44"/>
  <c r="J184" i="44"/>
  <c r="I184" i="44"/>
  <c r="G184" i="44"/>
  <c r="K183" i="44"/>
  <c r="J183" i="44"/>
  <c r="I183" i="44"/>
  <c r="G183" i="44"/>
  <c r="K181" i="44"/>
  <c r="J181" i="44"/>
  <c r="I181" i="44"/>
  <c r="G181" i="44"/>
  <c r="K180" i="44"/>
  <c r="J180" i="44"/>
  <c r="I180" i="44"/>
  <c r="G180" i="44"/>
  <c r="K179" i="44"/>
  <c r="J179" i="44"/>
  <c r="I179" i="44"/>
  <c r="G179" i="44"/>
  <c r="K178" i="44"/>
  <c r="J178" i="44"/>
  <c r="I178" i="44"/>
  <c r="G178" i="44"/>
  <c r="K177" i="44"/>
  <c r="J177" i="44"/>
  <c r="I177" i="44"/>
  <c r="G177" i="44"/>
  <c r="K176" i="44"/>
  <c r="J176" i="44"/>
  <c r="I176" i="44"/>
  <c r="G176" i="44"/>
  <c r="K175" i="44"/>
  <c r="J175" i="44"/>
  <c r="I175" i="44"/>
  <c r="G175" i="44"/>
  <c r="K174" i="44"/>
  <c r="J174" i="44"/>
  <c r="I174" i="44"/>
  <c r="G174" i="44"/>
  <c r="K173" i="44"/>
  <c r="J173" i="44"/>
  <c r="I173" i="44"/>
  <c r="G173" i="44"/>
  <c r="K154" i="44"/>
  <c r="J154" i="44"/>
  <c r="I154" i="44"/>
  <c r="G154" i="44"/>
  <c r="K153" i="44"/>
  <c r="J153" i="44"/>
  <c r="I153" i="44"/>
  <c r="G153" i="44"/>
  <c r="K152" i="44"/>
  <c r="J152" i="44"/>
  <c r="I152" i="44"/>
  <c r="G152" i="44"/>
  <c r="K151" i="44"/>
  <c r="J151" i="44"/>
  <c r="I151" i="44"/>
  <c r="G151" i="44"/>
  <c r="K150" i="44"/>
  <c r="J150" i="44"/>
  <c r="I150" i="44"/>
  <c r="G150" i="44"/>
  <c r="K148" i="44"/>
  <c r="J148" i="44"/>
  <c r="I148" i="44"/>
  <c r="G148" i="44"/>
  <c r="K147" i="44"/>
  <c r="J147" i="44"/>
  <c r="I147" i="44"/>
  <c r="G147" i="44"/>
  <c r="K146" i="44"/>
  <c r="J146" i="44"/>
  <c r="I146" i="44"/>
  <c r="G146" i="44"/>
  <c r="K145" i="44"/>
  <c r="J145" i="44"/>
  <c r="I145" i="44"/>
  <c r="G145" i="44"/>
  <c r="K144" i="44"/>
  <c r="J144" i="44"/>
  <c r="I144" i="44"/>
  <c r="G144" i="44"/>
  <c r="K143" i="44"/>
  <c r="J143" i="44"/>
  <c r="I143" i="44"/>
  <c r="G143" i="44"/>
  <c r="K142" i="44"/>
  <c r="J142" i="44"/>
  <c r="I142" i="44"/>
  <c r="G142" i="44"/>
  <c r="K141" i="44"/>
  <c r="J141" i="44"/>
  <c r="I141" i="44"/>
  <c r="G141" i="44"/>
  <c r="K140" i="44"/>
  <c r="J140" i="44"/>
  <c r="I140" i="44"/>
  <c r="G140" i="44"/>
  <c r="K139" i="44"/>
  <c r="J139" i="44"/>
  <c r="I139" i="44"/>
  <c r="G139" i="44"/>
  <c r="K138" i="44"/>
  <c r="J138" i="44"/>
  <c r="I138" i="44"/>
  <c r="G138" i="44"/>
  <c r="K137" i="44"/>
  <c r="J137" i="44"/>
  <c r="I137" i="44"/>
  <c r="G137" i="44"/>
  <c r="K136" i="44"/>
  <c r="J136" i="44"/>
  <c r="I136" i="44"/>
  <c r="G136" i="44"/>
  <c r="K135" i="44"/>
  <c r="J135" i="44"/>
  <c r="I135" i="44"/>
  <c r="G135" i="44"/>
  <c r="K134" i="44"/>
  <c r="J134" i="44"/>
  <c r="I134" i="44"/>
  <c r="G134" i="44"/>
  <c r="J60" i="81"/>
  <c r="J26" i="81"/>
  <c r="I34" i="77"/>
  <c r="I24" i="79"/>
  <c r="I60" i="81"/>
  <c r="I45" i="77"/>
  <c r="I43" i="79"/>
  <c r="I44" i="81"/>
  <c r="I24" i="81"/>
  <c r="I25" i="81"/>
  <c r="I26" i="81"/>
  <c r="I27" i="81"/>
  <c r="I28" i="81"/>
  <c r="G42" i="77"/>
  <c r="G44" i="77"/>
  <c r="G45" i="77"/>
  <c r="G43" i="79"/>
  <c r="G44" i="81"/>
  <c r="G24" i="81"/>
  <c r="G25" i="81"/>
  <c r="G26" i="81"/>
  <c r="G27" i="81"/>
  <c r="G28" i="81"/>
  <c r="G31" i="70"/>
  <c r="G51" i="71"/>
  <c r="G29" i="71"/>
  <c r="G31" i="78"/>
  <c r="G40" i="79"/>
  <c r="G54" i="71"/>
  <c r="G32" i="71"/>
  <c r="G29" i="81"/>
  <c r="K50" i="59"/>
  <c r="J50" i="59"/>
  <c r="I50" i="59"/>
  <c r="G50" i="59"/>
  <c r="K45" i="60"/>
  <c r="J45" i="60"/>
  <c r="I45" i="60"/>
  <c r="G45" i="60"/>
  <c r="K49" i="60"/>
  <c r="J49" i="60"/>
  <c r="I49" i="60"/>
  <c r="G49" i="60"/>
  <c r="K52" i="78"/>
  <c r="J52" i="78"/>
  <c r="I52" i="78"/>
  <c r="G52" i="78"/>
  <c r="K56" i="81"/>
  <c r="J56" i="81"/>
  <c r="I56" i="81"/>
  <c r="G56" i="81"/>
  <c r="K50" i="81"/>
  <c r="J50" i="81"/>
  <c r="I50" i="81"/>
  <c r="G50" i="81"/>
  <c r="K54" i="81"/>
  <c r="J54" i="81"/>
  <c r="I54" i="81"/>
  <c r="G54" i="81"/>
  <c r="K53" i="81"/>
  <c r="J53" i="81"/>
  <c r="I53" i="81"/>
  <c r="G53" i="81"/>
  <c r="K49" i="81"/>
  <c r="J49" i="81"/>
  <c r="I49" i="81"/>
  <c r="G49" i="81"/>
  <c r="K25" i="81"/>
  <c r="J25" i="81"/>
  <c r="K27" i="81"/>
  <c r="J27" i="81"/>
  <c r="K26" i="81"/>
  <c r="K28" i="81"/>
  <c r="J28" i="81"/>
  <c r="K62" i="81"/>
  <c r="J62" i="81"/>
  <c r="I62" i="81"/>
  <c r="G62" i="81"/>
  <c r="K61" i="81"/>
  <c r="J61" i="81"/>
  <c r="I61" i="81"/>
  <c r="G61" i="81"/>
  <c r="K60" i="81"/>
  <c r="G60" i="81"/>
  <c r="K58" i="81"/>
  <c r="J58" i="81"/>
  <c r="I58" i="81"/>
  <c r="G58" i="81"/>
  <c r="K57" i="81"/>
  <c r="J57" i="81"/>
  <c r="I57" i="81"/>
  <c r="G57" i="81"/>
  <c r="K51" i="81"/>
  <c r="J51" i="81"/>
  <c r="I51" i="81"/>
  <c r="G51" i="81"/>
  <c r="K48" i="81"/>
  <c r="J48" i="81"/>
  <c r="I48" i="81"/>
  <c r="G48" i="81"/>
  <c r="K46" i="81"/>
  <c r="J46" i="81"/>
  <c r="I46" i="81"/>
  <c r="G46" i="81"/>
  <c r="K45" i="81"/>
  <c r="J45" i="81"/>
  <c r="I45" i="81"/>
  <c r="G45" i="81"/>
  <c r="K44" i="81"/>
  <c r="J44" i="81"/>
  <c r="K42" i="81"/>
  <c r="J42" i="81"/>
  <c r="I42" i="81"/>
  <c r="G42" i="81"/>
  <c r="K41" i="81"/>
  <c r="J41" i="81"/>
  <c r="I41" i="81"/>
  <c r="K39" i="81"/>
  <c r="J39" i="81"/>
  <c r="I39" i="81"/>
  <c r="G39" i="81"/>
  <c r="K38" i="81"/>
  <c r="J38" i="81"/>
  <c r="I38" i="81"/>
  <c r="K36" i="81"/>
  <c r="J36" i="81"/>
  <c r="I36" i="81"/>
  <c r="G36" i="81"/>
  <c r="K35" i="81"/>
  <c r="J35" i="81"/>
  <c r="I35" i="81"/>
  <c r="K32" i="81"/>
  <c r="J32" i="81"/>
  <c r="I32" i="81"/>
  <c r="G32" i="81"/>
  <c r="K30" i="81"/>
  <c r="J30" i="81"/>
  <c r="I30" i="81"/>
  <c r="G30" i="81"/>
  <c r="K29" i="81"/>
  <c r="J29" i="81"/>
  <c r="I29" i="81"/>
  <c r="K24" i="81"/>
  <c r="J24" i="81"/>
  <c r="K33" i="70"/>
  <c r="J33" i="70"/>
  <c r="I33" i="70"/>
  <c r="G33" i="70"/>
  <c r="K32" i="70"/>
  <c r="J32" i="70"/>
  <c r="I32" i="70"/>
  <c r="G32" i="70"/>
  <c r="K31" i="70"/>
  <c r="J31" i="70"/>
  <c r="I31" i="70"/>
  <c r="K30" i="70"/>
  <c r="J30" i="70"/>
  <c r="I30" i="70"/>
  <c r="G30" i="70"/>
  <c r="K29" i="70"/>
  <c r="J29" i="70"/>
  <c r="I29" i="70"/>
  <c r="G29" i="70"/>
  <c r="K28" i="70"/>
  <c r="J28" i="70"/>
  <c r="I28" i="70"/>
  <c r="G28" i="70"/>
  <c r="K66" i="69"/>
  <c r="J66" i="69"/>
  <c r="I66" i="69"/>
  <c r="G66" i="69"/>
  <c r="K65" i="69"/>
  <c r="J65" i="69"/>
  <c r="I65" i="69"/>
  <c r="G65" i="69"/>
  <c r="K64" i="69"/>
  <c r="J64" i="69"/>
  <c r="I64" i="69"/>
  <c r="K63" i="69"/>
  <c r="J63" i="69"/>
  <c r="I63" i="69"/>
  <c r="G63" i="69"/>
  <c r="K62" i="69"/>
  <c r="J62" i="69"/>
  <c r="I62" i="69"/>
  <c r="G62" i="69"/>
  <c r="K61" i="69"/>
  <c r="J61" i="69"/>
  <c r="I61" i="69"/>
  <c r="G61" i="69"/>
  <c r="K60" i="69"/>
  <c r="G60" i="69"/>
  <c r="K62" i="79"/>
  <c r="J62" i="79"/>
  <c r="I62" i="79"/>
  <c r="G62" i="79"/>
  <c r="K61" i="79"/>
  <c r="J61" i="79"/>
  <c r="I61" i="79"/>
  <c r="G61" i="79"/>
  <c r="K60" i="79"/>
  <c r="J60" i="79"/>
  <c r="I60" i="79"/>
  <c r="G60" i="79"/>
  <c r="K59" i="79"/>
  <c r="J59" i="79"/>
  <c r="I59" i="79"/>
  <c r="G59" i="79"/>
  <c r="K57" i="79"/>
  <c r="J57" i="79"/>
  <c r="I57" i="79"/>
  <c r="G57" i="79"/>
  <c r="K56" i="79"/>
  <c r="J56" i="79"/>
  <c r="I56" i="79"/>
  <c r="G56" i="79"/>
  <c r="K54" i="79"/>
  <c r="J54" i="79"/>
  <c r="I54" i="79"/>
  <c r="G54" i="79"/>
  <c r="K53" i="79"/>
  <c r="J53" i="79"/>
  <c r="I53" i="79"/>
  <c r="K51" i="79"/>
  <c r="J51" i="79"/>
  <c r="I51" i="79"/>
  <c r="G51" i="79"/>
  <c r="K50" i="79"/>
  <c r="J50" i="79"/>
  <c r="I50" i="79"/>
  <c r="G50" i="79"/>
  <c r="K49" i="79"/>
  <c r="J49" i="79"/>
  <c r="I49" i="79"/>
  <c r="G49" i="79"/>
  <c r="K48" i="79"/>
  <c r="J48" i="79"/>
  <c r="I48" i="79"/>
  <c r="G48" i="79"/>
  <c r="K47" i="79"/>
  <c r="J47" i="79"/>
  <c r="I47" i="79"/>
  <c r="G47" i="79"/>
  <c r="K45" i="79"/>
  <c r="J45" i="79"/>
  <c r="I45" i="79"/>
  <c r="G45" i="79"/>
  <c r="K44" i="79"/>
  <c r="J44" i="79"/>
  <c r="I44" i="79"/>
  <c r="G44" i="79"/>
  <c r="K43" i="79"/>
  <c r="J43" i="79"/>
  <c r="K42" i="79"/>
  <c r="J42" i="79"/>
  <c r="I42" i="79"/>
  <c r="G42" i="79"/>
  <c r="K41" i="79"/>
  <c r="J41" i="79"/>
  <c r="I41" i="79"/>
  <c r="G41" i="79"/>
  <c r="K40" i="79"/>
  <c r="J40" i="79"/>
  <c r="I40" i="79"/>
  <c r="K39" i="79"/>
  <c r="J39" i="79"/>
  <c r="I39" i="79"/>
  <c r="G39" i="79"/>
  <c r="K37" i="79"/>
  <c r="J37" i="79"/>
  <c r="I37" i="79"/>
  <c r="G37" i="79"/>
  <c r="K36" i="79"/>
  <c r="J36" i="79"/>
  <c r="I36" i="79"/>
  <c r="K34" i="79"/>
  <c r="J34" i="79"/>
  <c r="I34" i="79"/>
  <c r="G34" i="79"/>
  <c r="K33" i="79"/>
  <c r="J33" i="79"/>
  <c r="I33" i="79"/>
  <c r="K31" i="79"/>
  <c r="J31" i="79"/>
  <c r="I31" i="79"/>
  <c r="G31" i="79"/>
  <c r="K30" i="79"/>
  <c r="J30" i="79"/>
  <c r="I30" i="79"/>
  <c r="G30" i="79"/>
  <c r="K27" i="79"/>
  <c r="J27" i="79"/>
  <c r="I27" i="79"/>
  <c r="G27" i="79"/>
  <c r="K25" i="79"/>
  <c r="J25" i="79"/>
  <c r="I25" i="79"/>
  <c r="G25" i="79"/>
  <c r="K24" i="79"/>
  <c r="J24" i="79"/>
  <c r="G24" i="79"/>
  <c r="K49" i="77"/>
  <c r="J49" i="77"/>
  <c r="I49" i="77"/>
  <c r="G49" i="77"/>
  <c r="K71" i="71"/>
  <c r="J71" i="71"/>
  <c r="I71" i="71"/>
  <c r="G71" i="71"/>
  <c r="K70" i="71"/>
  <c r="J70" i="71"/>
  <c r="I70" i="71"/>
  <c r="G70" i="71"/>
  <c r="K69" i="71"/>
  <c r="J69" i="71"/>
  <c r="I69" i="71"/>
  <c r="G69" i="71"/>
  <c r="K68" i="71"/>
  <c r="J68" i="71"/>
  <c r="I68" i="71"/>
  <c r="G68" i="71"/>
  <c r="K67" i="71"/>
  <c r="J67" i="71"/>
  <c r="I67" i="71"/>
  <c r="G67" i="71"/>
  <c r="K66" i="71"/>
  <c r="J66" i="71"/>
  <c r="I66" i="71"/>
  <c r="G66" i="71"/>
  <c r="K54" i="71"/>
  <c r="J54" i="71"/>
  <c r="I54" i="71"/>
  <c r="K53" i="71"/>
  <c r="J53" i="71"/>
  <c r="I53" i="71"/>
  <c r="G53" i="71"/>
  <c r="K52" i="71"/>
  <c r="J52" i="71"/>
  <c r="I52" i="71"/>
  <c r="G52" i="71"/>
  <c r="K51" i="71"/>
  <c r="J51" i="71"/>
  <c r="I51" i="71"/>
  <c r="K55" i="71"/>
  <c r="J55" i="71"/>
  <c r="I55" i="71"/>
  <c r="G55" i="71"/>
  <c r="K50" i="71"/>
  <c r="J50" i="71"/>
  <c r="I50" i="71"/>
  <c r="G50" i="71"/>
  <c r="K49" i="71"/>
  <c r="G49" i="71"/>
  <c r="K33" i="71"/>
  <c r="J33" i="71"/>
  <c r="I33" i="71"/>
  <c r="G33" i="71"/>
  <c r="K32" i="71"/>
  <c r="J32" i="71"/>
  <c r="I32" i="71"/>
  <c r="K31" i="71"/>
  <c r="J31" i="71"/>
  <c r="I31" i="71"/>
  <c r="G31" i="71"/>
  <c r="K30" i="71"/>
  <c r="J30" i="71"/>
  <c r="I30" i="71"/>
  <c r="G30" i="71"/>
  <c r="K29" i="71"/>
  <c r="J29" i="71"/>
  <c r="I29" i="71"/>
  <c r="K28" i="71"/>
  <c r="J28" i="71"/>
  <c r="I28" i="71"/>
  <c r="G28" i="71"/>
  <c r="K58" i="78"/>
  <c r="J58" i="78"/>
  <c r="I58" i="78"/>
  <c r="G58" i="78"/>
  <c r="K57" i="78"/>
  <c r="J57" i="78"/>
  <c r="I57" i="78"/>
  <c r="G57" i="78"/>
  <c r="K56" i="78"/>
  <c r="J56" i="78"/>
  <c r="I56" i="78"/>
  <c r="G56" i="78"/>
  <c r="K54" i="78"/>
  <c r="J54" i="78"/>
  <c r="I54" i="78"/>
  <c r="G54" i="78"/>
  <c r="K53" i="78"/>
  <c r="J53" i="78"/>
  <c r="I53" i="78"/>
  <c r="G53" i="78"/>
  <c r="K50" i="78"/>
  <c r="J50" i="78"/>
  <c r="I50" i="78"/>
  <c r="G50" i="78"/>
  <c r="K49" i="78"/>
  <c r="J49" i="78"/>
  <c r="I49" i="78"/>
  <c r="G49" i="78"/>
  <c r="K46" i="78"/>
  <c r="J46" i="78"/>
  <c r="I46" i="78"/>
  <c r="G46" i="78"/>
  <c r="K45" i="78"/>
  <c r="J45" i="78"/>
  <c r="I45" i="78"/>
  <c r="G45" i="78"/>
  <c r="K43" i="78"/>
  <c r="J43" i="78"/>
  <c r="I43" i="78"/>
  <c r="G43" i="78"/>
  <c r="K42" i="78"/>
  <c r="J42" i="78"/>
  <c r="I42" i="78"/>
  <c r="K41" i="78"/>
  <c r="J41" i="78"/>
  <c r="I41" i="78"/>
  <c r="G41" i="78"/>
  <c r="K40" i="78"/>
  <c r="J40" i="78"/>
  <c r="I40" i="78"/>
  <c r="G40" i="78"/>
  <c r="K38" i="78"/>
  <c r="J38" i="78"/>
  <c r="I38" i="78"/>
  <c r="G38" i="78"/>
  <c r="K37" i="78"/>
  <c r="J37" i="78"/>
  <c r="I37" i="78"/>
  <c r="K35" i="78"/>
  <c r="J35" i="78"/>
  <c r="I35" i="78"/>
  <c r="G35" i="78"/>
  <c r="K34" i="78"/>
  <c r="J34" i="78"/>
  <c r="I34" i="78"/>
  <c r="K32" i="78"/>
  <c r="J32" i="78"/>
  <c r="I32" i="78"/>
  <c r="G32" i="78"/>
  <c r="K31" i="78"/>
  <c r="J31" i="78"/>
  <c r="I31" i="78"/>
  <c r="K28" i="78"/>
  <c r="J28" i="78"/>
  <c r="I28" i="78"/>
  <c r="G28" i="78"/>
  <c r="K26" i="78"/>
  <c r="J26" i="78"/>
  <c r="I26" i="78"/>
  <c r="G26" i="78"/>
  <c r="K25" i="78"/>
  <c r="J25" i="78"/>
  <c r="I25" i="78"/>
  <c r="G25" i="78"/>
  <c r="K24" i="78"/>
  <c r="J24" i="78"/>
  <c r="I24" i="78"/>
  <c r="G24" i="78"/>
  <c r="K24" i="61"/>
  <c r="J24" i="61"/>
  <c r="I24" i="61"/>
  <c r="G24" i="61"/>
  <c r="K129" i="44"/>
  <c r="J129" i="44"/>
  <c r="G129" i="44"/>
  <c r="K127" i="44"/>
  <c r="J127" i="44"/>
  <c r="I127" i="44"/>
  <c r="G127" i="44"/>
  <c r="K24" i="65"/>
  <c r="J24" i="65"/>
  <c r="I24" i="65"/>
  <c r="G24" i="65"/>
  <c r="K24" i="64"/>
  <c r="J24" i="64"/>
  <c r="I24" i="64"/>
  <c r="G24" i="64"/>
  <c r="K46" i="77"/>
  <c r="J46" i="77"/>
  <c r="I46" i="77"/>
  <c r="G46" i="77"/>
  <c r="K45" i="77"/>
  <c r="J45" i="77"/>
  <c r="K44" i="77"/>
  <c r="J44" i="77"/>
  <c r="I44" i="77"/>
  <c r="K43" i="77"/>
  <c r="J43" i="77"/>
  <c r="I43" i="77"/>
  <c r="G43" i="77"/>
  <c r="K42" i="77"/>
  <c r="J42" i="77"/>
  <c r="K41" i="77"/>
  <c r="J41" i="77"/>
  <c r="I41" i="77"/>
  <c r="G41" i="77"/>
  <c r="K26" i="77"/>
  <c r="J26" i="77"/>
  <c r="I26" i="77"/>
  <c r="G26" i="77"/>
  <c r="K25" i="77"/>
  <c r="J25" i="77"/>
  <c r="I25" i="77"/>
  <c r="G25" i="77"/>
  <c r="K24" i="77"/>
  <c r="J24" i="77"/>
  <c r="I24" i="77"/>
  <c r="G24" i="77"/>
  <c r="I129" i="44" l="1"/>
  <c r="G35" i="81"/>
  <c r="G53" i="79"/>
  <c r="G42" i="78"/>
  <c r="G64" i="69"/>
  <c r="K62" i="65"/>
  <c r="J62" i="65"/>
  <c r="I62" i="65"/>
  <c r="G62" i="65"/>
  <c r="K60" i="65"/>
  <c r="J60" i="65"/>
  <c r="I60" i="65"/>
  <c r="G60" i="65"/>
  <c r="K54" i="66"/>
  <c r="J54" i="66"/>
  <c r="I54" i="66"/>
  <c r="G54" i="66"/>
  <c r="K52" i="66"/>
  <c r="J52" i="66"/>
  <c r="I52" i="66"/>
  <c r="G52" i="66"/>
  <c r="K52" i="68"/>
  <c r="J52" i="68"/>
  <c r="I52" i="68"/>
  <c r="G52" i="68"/>
  <c r="K51" i="68"/>
  <c r="J51" i="68"/>
  <c r="I51" i="68"/>
  <c r="G51" i="68"/>
  <c r="K51" i="77"/>
  <c r="J51" i="77"/>
  <c r="I51" i="77"/>
  <c r="G51" i="77"/>
  <c r="K50" i="77"/>
  <c r="J50" i="77"/>
  <c r="I50" i="77"/>
  <c r="G50" i="77"/>
  <c r="K48" i="77"/>
  <c r="J48" i="77"/>
  <c r="I48" i="77"/>
  <c r="G48" i="77"/>
  <c r="K47" i="77"/>
  <c r="J47" i="77"/>
  <c r="I47" i="77"/>
  <c r="G47" i="77"/>
  <c r="K68" i="44" l="1"/>
  <c r="J68" i="44"/>
  <c r="I68" i="44"/>
  <c r="G68" i="44"/>
  <c r="K32" i="69"/>
  <c r="J32" i="69"/>
  <c r="I32" i="69"/>
  <c r="G32" i="69"/>
  <c r="K31" i="69"/>
  <c r="J31" i="69"/>
  <c r="I31" i="69"/>
  <c r="G31" i="69"/>
  <c r="K30" i="69"/>
  <c r="J30" i="69"/>
  <c r="I30" i="69"/>
  <c r="G30" i="69"/>
  <c r="K29" i="69"/>
  <c r="J29" i="69"/>
  <c r="I29" i="69"/>
  <c r="G29" i="69"/>
  <c r="K28" i="69"/>
  <c r="J28" i="69"/>
  <c r="I28" i="69"/>
  <c r="G28" i="69"/>
  <c r="K27" i="69"/>
  <c r="J27" i="69"/>
  <c r="G27" i="69"/>
  <c r="K133" i="44"/>
  <c r="J133" i="44"/>
  <c r="I133" i="44"/>
  <c r="G133" i="44"/>
  <c r="K132" i="44"/>
  <c r="J132" i="44"/>
  <c r="I132" i="44"/>
  <c r="G132" i="44"/>
  <c r="K131" i="44"/>
  <c r="J131" i="44"/>
  <c r="I131" i="44"/>
  <c r="G131" i="44"/>
  <c r="K130" i="44"/>
  <c r="J130" i="44"/>
  <c r="I130" i="44"/>
  <c r="G130" i="44"/>
  <c r="K128" i="44"/>
  <c r="J128" i="44"/>
  <c r="I128" i="44"/>
  <c r="G128" i="44"/>
  <c r="K126" i="44"/>
  <c r="J126" i="44"/>
  <c r="I126" i="44"/>
  <c r="G126" i="44"/>
  <c r="K125" i="44"/>
  <c r="J125" i="44"/>
  <c r="I125" i="44"/>
  <c r="G125" i="44"/>
  <c r="K124" i="44"/>
  <c r="J124" i="44"/>
  <c r="I124" i="44"/>
  <c r="G124" i="44"/>
  <c r="K123" i="44"/>
  <c r="J123" i="44"/>
  <c r="I123" i="44"/>
  <c r="G123" i="44"/>
  <c r="K122" i="44"/>
  <c r="J122" i="44"/>
  <c r="I122" i="44"/>
  <c r="G122" i="44"/>
  <c r="K121" i="44"/>
  <c r="J121" i="44"/>
  <c r="I121" i="44"/>
  <c r="G121" i="44"/>
  <c r="K120" i="44"/>
  <c r="J120" i="44"/>
  <c r="I120" i="44"/>
  <c r="G120" i="44"/>
  <c r="K119" i="44"/>
  <c r="J119" i="44"/>
  <c r="I119" i="44"/>
  <c r="G119" i="44"/>
  <c r="K118" i="44"/>
  <c r="J118" i="44"/>
  <c r="I118" i="44"/>
  <c r="G118" i="44"/>
  <c r="K117" i="44"/>
  <c r="J117" i="44"/>
  <c r="I117" i="44"/>
  <c r="G117" i="44"/>
  <c r="K116" i="44"/>
  <c r="J116" i="44"/>
  <c r="I116" i="44"/>
  <c r="G116" i="44"/>
  <c r="K115" i="44"/>
  <c r="J115" i="44"/>
  <c r="I115" i="44"/>
  <c r="G115" i="44"/>
  <c r="K114" i="44"/>
  <c r="J114" i="44"/>
  <c r="I114" i="44"/>
  <c r="G114" i="44"/>
  <c r="K113" i="44"/>
  <c r="J113" i="44"/>
  <c r="I113" i="44"/>
  <c r="G113" i="44"/>
  <c r="K112" i="44"/>
  <c r="J112" i="44"/>
  <c r="I112" i="44"/>
  <c r="G112" i="44"/>
  <c r="K111" i="44"/>
  <c r="J111" i="44"/>
  <c r="I111" i="44"/>
  <c r="G111" i="44"/>
  <c r="K110" i="44"/>
  <c r="J110" i="44"/>
  <c r="I110" i="44"/>
  <c r="G110" i="44"/>
  <c r="K109" i="44"/>
  <c r="J109" i="44"/>
  <c r="I109" i="44"/>
  <c r="G109" i="44"/>
  <c r="K108" i="44"/>
  <c r="J108" i="44"/>
  <c r="I108" i="44"/>
  <c r="G108" i="44"/>
  <c r="K107" i="44"/>
  <c r="J107" i="44"/>
  <c r="I107" i="44"/>
  <c r="G107" i="44"/>
  <c r="K106" i="44"/>
  <c r="J106" i="44"/>
  <c r="I106" i="44"/>
  <c r="G106" i="44"/>
  <c r="K105" i="44"/>
  <c r="J105" i="44"/>
  <c r="I105" i="44"/>
  <c r="G105" i="44"/>
  <c r="K104" i="44"/>
  <c r="J104" i="44"/>
  <c r="I104" i="44"/>
  <c r="G104" i="44"/>
  <c r="K103" i="44"/>
  <c r="J103" i="44"/>
  <c r="I103" i="44"/>
  <c r="G103" i="44"/>
  <c r="K102" i="44"/>
  <c r="J102" i="44"/>
  <c r="I102" i="44"/>
  <c r="G102" i="44"/>
  <c r="K101" i="44"/>
  <c r="J101" i="44"/>
  <c r="I101" i="44"/>
  <c r="G101" i="44"/>
  <c r="K100" i="44"/>
  <c r="J100" i="44"/>
  <c r="I100" i="44"/>
  <c r="G100" i="44"/>
  <c r="K99" i="44"/>
  <c r="J99" i="44"/>
  <c r="I99" i="44"/>
  <c r="G99" i="44"/>
  <c r="K98" i="44"/>
  <c r="J98" i="44"/>
  <c r="I98" i="44"/>
  <c r="G98" i="44"/>
  <c r="K97" i="44"/>
  <c r="J97" i="44"/>
  <c r="I97" i="44"/>
  <c r="G97" i="44"/>
  <c r="K96" i="44"/>
  <c r="J96" i="44"/>
  <c r="I96" i="44"/>
  <c r="G96" i="44"/>
  <c r="K95" i="44"/>
  <c r="J95" i="44"/>
  <c r="I95" i="44"/>
  <c r="G95" i="44"/>
  <c r="K94" i="44"/>
  <c r="J94" i="44"/>
  <c r="I94" i="44"/>
  <c r="G94" i="44"/>
  <c r="K93" i="44"/>
  <c r="J93" i="44"/>
  <c r="I93" i="44"/>
  <c r="G93" i="44"/>
  <c r="K92" i="44"/>
  <c r="J92" i="44"/>
  <c r="I92" i="44"/>
  <c r="G92" i="44"/>
  <c r="K91" i="44"/>
  <c r="J91" i="44"/>
  <c r="I91" i="44"/>
  <c r="G91" i="44"/>
  <c r="K90" i="44"/>
  <c r="J90" i="44"/>
  <c r="I90" i="44"/>
  <c r="G90" i="44"/>
  <c r="K89" i="44"/>
  <c r="J89" i="44"/>
  <c r="I89" i="44"/>
  <c r="G89" i="44"/>
  <c r="K88" i="44"/>
  <c r="J88" i="44"/>
  <c r="I88" i="44"/>
  <c r="G88" i="44"/>
  <c r="K87" i="44"/>
  <c r="J87" i="44"/>
  <c r="I87" i="44"/>
  <c r="G87" i="44"/>
  <c r="K86" i="44"/>
  <c r="J86" i="44"/>
  <c r="I86" i="44"/>
  <c r="G86" i="44"/>
  <c r="K85" i="44"/>
  <c r="J85" i="44"/>
  <c r="I85" i="44"/>
  <c r="G85" i="44"/>
  <c r="K84" i="44"/>
  <c r="J84" i="44"/>
  <c r="I84" i="44"/>
  <c r="G84" i="44"/>
  <c r="K83" i="44"/>
  <c r="J83" i="44"/>
  <c r="I83" i="44"/>
  <c r="G83" i="44"/>
  <c r="K82" i="44"/>
  <c r="J82" i="44"/>
  <c r="I82" i="44"/>
  <c r="G82" i="44"/>
  <c r="K81" i="44"/>
  <c r="J81" i="44"/>
  <c r="I81" i="44"/>
  <c r="G81" i="44"/>
  <c r="K80" i="44"/>
  <c r="J80" i="44"/>
  <c r="I80" i="44"/>
  <c r="G80" i="44"/>
  <c r="K71" i="44"/>
  <c r="J71" i="44"/>
  <c r="I71" i="44"/>
  <c r="G71" i="44"/>
  <c r="K79" i="44"/>
  <c r="J79" i="44"/>
  <c r="I79" i="44"/>
  <c r="G79" i="44"/>
  <c r="K78" i="44"/>
  <c r="J78" i="44"/>
  <c r="I78" i="44"/>
  <c r="G78" i="44"/>
  <c r="K77" i="44"/>
  <c r="J77" i="44"/>
  <c r="I77" i="44"/>
  <c r="G77" i="44"/>
  <c r="K76" i="44"/>
  <c r="J76" i="44"/>
  <c r="I76" i="44"/>
  <c r="G76" i="44"/>
  <c r="K75" i="44"/>
  <c r="J75" i="44"/>
  <c r="I75" i="44"/>
  <c r="G75" i="44"/>
  <c r="K74" i="44"/>
  <c r="J74" i="44"/>
  <c r="I74" i="44"/>
  <c r="G74" i="44"/>
  <c r="K73" i="44"/>
  <c r="J73" i="44"/>
  <c r="I73" i="44"/>
  <c r="G73" i="44"/>
  <c r="K72" i="44"/>
  <c r="J72" i="44"/>
  <c r="I72" i="44"/>
  <c r="G72" i="44"/>
  <c r="K70" i="44"/>
  <c r="J70" i="44"/>
  <c r="I70" i="44"/>
  <c r="G70" i="44"/>
  <c r="K69" i="44"/>
  <c r="J69" i="44"/>
  <c r="I69" i="44"/>
  <c r="G69" i="44"/>
  <c r="K67" i="44"/>
  <c r="J67" i="44"/>
  <c r="I67" i="44"/>
  <c r="G67" i="44"/>
  <c r="K66" i="44"/>
  <c r="J66" i="44"/>
  <c r="I66" i="44"/>
  <c r="G66" i="44"/>
  <c r="K65" i="44"/>
  <c r="J65" i="44"/>
  <c r="I65" i="44"/>
  <c r="G65" i="44"/>
  <c r="K64" i="44"/>
  <c r="J64" i="44"/>
  <c r="I64" i="44"/>
  <c r="G64" i="44"/>
  <c r="K63" i="44"/>
  <c r="J63" i="44"/>
  <c r="I63" i="44"/>
  <c r="G63" i="44"/>
  <c r="K62" i="44"/>
  <c r="J62" i="44"/>
  <c r="I62" i="44"/>
  <c r="G62" i="44"/>
  <c r="K61" i="44"/>
  <c r="J61" i="44"/>
  <c r="I61" i="44"/>
  <c r="G61" i="44"/>
  <c r="K60" i="44"/>
  <c r="J60" i="44"/>
  <c r="I60" i="44"/>
  <c r="G60" i="44"/>
  <c r="K59" i="44"/>
  <c r="J59" i="44"/>
  <c r="I59" i="44"/>
  <c r="G59" i="44"/>
  <c r="K58" i="44"/>
  <c r="J58" i="44"/>
  <c r="I58" i="44"/>
  <c r="G58" i="44"/>
  <c r="K57" i="44"/>
  <c r="J57" i="44"/>
  <c r="I57" i="44"/>
  <c r="G57" i="44"/>
  <c r="K56" i="44"/>
  <c r="J56" i="44"/>
  <c r="I56" i="44"/>
  <c r="G56" i="44"/>
  <c r="K55" i="44"/>
  <c r="J55" i="44"/>
  <c r="I55" i="44"/>
  <c r="G55" i="44"/>
  <c r="K54" i="44"/>
  <c r="J54" i="44"/>
  <c r="I54" i="44"/>
  <c r="G54" i="44"/>
  <c r="K53" i="44"/>
  <c r="J53" i="44"/>
  <c r="I53" i="44"/>
  <c r="G53" i="44"/>
  <c r="K52" i="44"/>
  <c r="J52" i="44"/>
  <c r="I52" i="44"/>
  <c r="G52" i="44"/>
  <c r="K51" i="44"/>
  <c r="J51" i="44"/>
  <c r="I51" i="44"/>
  <c r="G51" i="44"/>
  <c r="K50" i="44"/>
  <c r="J50" i="44"/>
  <c r="I50" i="44"/>
  <c r="G50" i="44"/>
  <c r="K49" i="44"/>
  <c r="J49" i="44"/>
  <c r="I49" i="44"/>
  <c r="G49" i="44"/>
  <c r="K48" i="44"/>
  <c r="J48" i="44"/>
  <c r="I48" i="44"/>
  <c r="G48" i="44"/>
  <c r="K47" i="44"/>
  <c r="J47" i="44"/>
  <c r="I47" i="44"/>
  <c r="G47" i="44"/>
  <c r="K46" i="44"/>
  <c r="J46" i="44"/>
  <c r="I46" i="44"/>
  <c r="G46" i="44"/>
  <c r="K45" i="44"/>
  <c r="J45" i="44"/>
  <c r="I45" i="44"/>
  <c r="G45" i="44"/>
  <c r="K44" i="44"/>
  <c r="J44" i="44"/>
  <c r="I44" i="44"/>
  <c r="G44" i="44"/>
  <c r="K43" i="44"/>
  <c r="J43" i="44"/>
  <c r="I43" i="44"/>
  <c r="G43" i="44"/>
  <c r="K42" i="44"/>
  <c r="J42" i="44"/>
  <c r="I42" i="44"/>
  <c r="G42" i="44"/>
  <c r="K41" i="44"/>
  <c r="J41" i="44"/>
  <c r="I41" i="44"/>
  <c r="G41" i="44"/>
  <c r="K40" i="44"/>
  <c r="J40" i="44"/>
  <c r="I40" i="44"/>
  <c r="G40" i="44"/>
  <c r="K39" i="44"/>
  <c r="J39" i="44"/>
  <c r="I39" i="44"/>
  <c r="G39" i="44"/>
  <c r="K38" i="44"/>
  <c r="J38" i="44"/>
  <c r="I38" i="44"/>
  <c r="G38" i="44"/>
  <c r="K37" i="44"/>
  <c r="J37" i="44"/>
  <c r="I37" i="44"/>
  <c r="G37" i="44"/>
  <c r="K36" i="44"/>
  <c r="J36" i="44"/>
  <c r="I36" i="44"/>
  <c r="G36" i="44"/>
  <c r="K35" i="44"/>
  <c r="J35" i="44"/>
  <c r="I35" i="44"/>
  <c r="G35" i="44"/>
  <c r="K34" i="44"/>
  <c r="J34" i="44"/>
  <c r="I34" i="44"/>
  <c r="G34" i="44"/>
  <c r="K33" i="44"/>
  <c r="J33" i="44"/>
  <c r="I33" i="44"/>
  <c r="G33" i="44"/>
  <c r="K32" i="44"/>
  <c r="J32" i="44"/>
  <c r="I32" i="44"/>
  <c r="G32" i="44"/>
  <c r="K31" i="44"/>
  <c r="J31" i="44"/>
  <c r="I31" i="44"/>
  <c r="G31" i="44"/>
  <c r="K30" i="44"/>
  <c r="J30" i="44"/>
  <c r="I30" i="44"/>
  <c r="G30" i="44"/>
  <c r="K29" i="44"/>
  <c r="J29" i="44"/>
  <c r="I29" i="44"/>
  <c r="G29" i="44"/>
  <c r="K28" i="44"/>
  <c r="J28" i="44"/>
  <c r="I28" i="44"/>
  <c r="G28" i="44"/>
  <c r="K27" i="44"/>
  <c r="J27" i="44"/>
  <c r="I27" i="44"/>
  <c r="G27" i="44"/>
  <c r="K26" i="44"/>
  <c r="J26" i="44"/>
  <c r="I26" i="44"/>
  <c r="G26" i="44"/>
  <c r="K25" i="44"/>
  <c r="J25" i="44"/>
  <c r="I25" i="44"/>
  <c r="G25" i="44"/>
  <c r="K24" i="44"/>
  <c r="J24" i="44"/>
  <c r="I24" i="44"/>
  <c r="G24" i="44"/>
  <c r="G26" i="74"/>
  <c r="I26" i="74"/>
  <c r="J26" i="74"/>
  <c r="K26" i="74"/>
  <c r="G30" i="74"/>
  <c r="I30" i="74"/>
  <c r="J30" i="74"/>
  <c r="K30" i="74"/>
  <c r="K106" i="71"/>
  <c r="J106" i="71"/>
  <c r="I106" i="71"/>
  <c r="G106" i="71"/>
  <c r="K105" i="71"/>
  <c r="J105" i="71"/>
  <c r="I105" i="71"/>
  <c r="G105" i="71"/>
  <c r="K104" i="71"/>
  <c r="J104" i="71"/>
  <c r="I104" i="71"/>
  <c r="G104" i="71"/>
  <c r="K103" i="71"/>
  <c r="J103" i="71"/>
  <c r="I103" i="71"/>
  <c r="G103" i="71"/>
  <c r="K102" i="71"/>
  <c r="J102" i="71"/>
  <c r="I102" i="71"/>
  <c r="G102" i="71"/>
  <c r="K101" i="71"/>
  <c r="J101" i="71"/>
  <c r="I101" i="71"/>
  <c r="G101" i="71"/>
  <c r="K100" i="71"/>
  <c r="G100" i="71"/>
  <c r="K85" i="71" l="1"/>
  <c r="J85" i="71"/>
  <c r="I85" i="71"/>
  <c r="G85" i="71"/>
  <c r="K84" i="71"/>
  <c r="J84" i="71"/>
  <c r="I84" i="71"/>
  <c r="G84" i="71"/>
  <c r="K83" i="71"/>
  <c r="J83" i="71"/>
  <c r="I83" i="71"/>
  <c r="G83" i="71"/>
  <c r="K82" i="71"/>
  <c r="J82" i="71"/>
  <c r="I82" i="71"/>
  <c r="G82" i="71"/>
  <c r="K81" i="71"/>
  <c r="J81" i="71"/>
  <c r="I81" i="71"/>
  <c r="G81" i="71"/>
  <c r="K80" i="71"/>
  <c r="J80" i="71"/>
  <c r="I80" i="71"/>
  <c r="G80" i="71"/>
  <c r="K79" i="71"/>
  <c r="K28" i="72"/>
  <c r="J28" i="72"/>
  <c r="I28" i="72"/>
  <c r="G28" i="72"/>
  <c r="K23" i="72"/>
  <c r="J23" i="72"/>
  <c r="I23" i="72"/>
  <c r="G23" i="72"/>
  <c r="K118" i="69"/>
  <c r="J118" i="69"/>
  <c r="I118" i="69"/>
  <c r="G118" i="69"/>
  <c r="K116" i="69"/>
  <c r="J116" i="69"/>
  <c r="I116" i="69"/>
  <c r="G116" i="69"/>
  <c r="K86" i="69"/>
  <c r="J86" i="69"/>
  <c r="I86" i="69"/>
  <c r="G86" i="69"/>
  <c r="K85" i="69"/>
  <c r="J85" i="69"/>
  <c r="I85" i="69"/>
  <c r="G85" i="69"/>
  <c r="K84" i="69"/>
  <c r="J84" i="69"/>
  <c r="I84" i="69"/>
  <c r="G84" i="69"/>
  <c r="K83" i="69"/>
  <c r="J83" i="69"/>
  <c r="I83" i="69"/>
  <c r="G83" i="69"/>
  <c r="K82" i="69"/>
  <c r="J82" i="69"/>
  <c r="I82" i="69"/>
  <c r="G82" i="69"/>
  <c r="K81" i="69"/>
  <c r="J81" i="69"/>
  <c r="I81" i="69"/>
  <c r="G81" i="69"/>
  <c r="K80" i="69"/>
  <c r="J80" i="69"/>
  <c r="I80" i="69"/>
  <c r="G80" i="69"/>
  <c r="K50" i="61" l="1"/>
  <c r="J50" i="61"/>
  <c r="I50" i="61"/>
  <c r="G50" i="61"/>
  <c r="K46" i="60"/>
  <c r="J46" i="60"/>
  <c r="I46" i="60"/>
  <c r="G46" i="60"/>
  <c r="K55" i="70" l="1"/>
  <c r="K46" i="71"/>
  <c r="K48" i="70"/>
  <c r="K42" i="70"/>
  <c r="K35" i="70"/>
  <c r="K21" i="70"/>
  <c r="K73" i="71"/>
  <c r="K35" i="71"/>
  <c r="K68" i="69"/>
  <c r="K109" i="70"/>
  <c r="K41" i="69"/>
  <c r="K34" i="69"/>
  <c r="K88" i="70"/>
  <c r="K81" i="70"/>
  <c r="K128" i="69"/>
  <c r="K21" i="69"/>
  <c r="K74" i="70"/>
  <c r="K115" i="69"/>
  <c r="K114" i="69"/>
  <c r="K107" i="69"/>
  <c r="K101" i="69"/>
  <c r="K94" i="69"/>
  <c r="K21" i="71"/>
  <c r="K94" i="71"/>
  <c r="K24" i="66"/>
  <c r="K25" i="64"/>
  <c r="K25" i="65"/>
  <c r="K24" i="68"/>
  <c r="K45" i="64"/>
  <c r="K44" i="61"/>
  <c r="K41" i="71"/>
  <c r="K40" i="71"/>
  <c r="K108" i="69"/>
  <c r="K95" i="71"/>
  <c r="K35" i="69"/>
  <c r="K103" i="70"/>
  <c r="K75" i="70"/>
  <c r="K55" i="69"/>
  <c r="K43" i="70"/>
  <c r="K30" i="59"/>
  <c r="K57" i="59"/>
  <c r="K48" i="66"/>
  <c r="K55" i="65"/>
  <c r="K28" i="64"/>
  <c r="K27" i="72"/>
  <c r="K51" i="59"/>
  <c r="K49" i="59"/>
  <c r="K30" i="73"/>
  <c r="K61" i="61"/>
  <c r="K60" i="64"/>
  <c r="K43" i="73"/>
  <c r="K99" i="73"/>
  <c r="K85" i="73"/>
  <c r="K70" i="73"/>
  <c r="K29" i="73"/>
  <c r="K98" i="73"/>
  <c r="K104" i="73"/>
  <c r="K68" i="73"/>
  <c r="K28" i="73"/>
  <c r="K42" i="73"/>
  <c r="K41" i="73"/>
  <c r="K82" i="73"/>
  <c r="K81" i="73"/>
  <c r="K96" i="73"/>
  <c r="K39" i="73"/>
  <c r="K91" i="73"/>
  <c r="K35" i="73"/>
  <c r="K22" i="73"/>
  <c r="K48" i="73"/>
  <c r="K77" i="73"/>
  <c r="K62" i="73"/>
  <c r="K42" i="71"/>
  <c r="K24" i="70"/>
  <c r="K37" i="69"/>
  <c r="K124" i="69"/>
  <c r="K38" i="70"/>
  <c r="K50" i="69"/>
  <c r="K103" i="69"/>
  <c r="K29" i="74"/>
  <c r="K40" i="68"/>
  <c r="K46" i="64"/>
  <c r="K28" i="74"/>
  <c r="K48" i="59"/>
  <c r="K47" i="59"/>
  <c r="K44" i="59"/>
  <c r="K58" i="71"/>
  <c r="K107" i="73"/>
  <c r="K43" i="59"/>
  <c r="K43" i="65"/>
  <c r="K41" i="66"/>
  <c r="K25" i="74"/>
  <c r="K42" i="59"/>
  <c r="K42" i="65"/>
  <c r="K41" i="61"/>
  <c r="K40" i="59"/>
  <c r="K40" i="65"/>
  <c r="K43" i="71"/>
  <c r="K85" i="70"/>
  <c r="K98" i="71"/>
  <c r="K38" i="69"/>
  <c r="K23" i="74"/>
  <c r="K25" i="71"/>
  <c r="K79" i="69"/>
  <c r="K104" i="69"/>
  <c r="K39" i="59"/>
  <c r="K20" i="74"/>
  <c r="J104" i="73"/>
  <c r="I104" i="73"/>
  <c r="G104" i="73"/>
  <c r="J91" i="73"/>
  <c r="I91" i="73"/>
  <c r="G91" i="73"/>
  <c r="J77" i="73"/>
  <c r="I77" i="73"/>
  <c r="G77" i="73"/>
  <c r="J62" i="73"/>
  <c r="I62" i="73"/>
  <c r="G62" i="73"/>
  <c r="J48" i="73"/>
  <c r="I48" i="73"/>
  <c r="G48" i="73"/>
  <c r="J35" i="73"/>
  <c r="I35" i="73"/>
  <c r="G35" i="73"/>
  <c r="J22" i="73"/>
  <c r="I22" i="73"/>
  <c r="G22" i="73"/>
  <c r="J20" i="74"/>
  <c r="I20" i="74"/>
  <c r="G20" i="74"/>
  <c r="J31" i="74"/>
  <c r="I31" i="74"/>
  <c r="G31" i="74"/>
  <c r="J29" i="74"/>
  <c r="I29" i="74"/>
  <c r="G29" i="74"/>
  <c r="J28" i="74"/>
  <c r="I28" i="74"/>
  <c r="G28" i="74"/>
  <c r="J27" i="74"/>
  <c r="I27" i="74"/>
  <c r="G27" i="74"/>
  <c r="J25" i="74"/>
  <c r="I25" i="74"/>
  <c r="G25" i="74"/>
  <c r="J24" i="74"/>
  <c r="I24" i="74"/>
  <c r="G24" i="74"/>
  <c r="J23" i="74"/>
  <c r="I23" i="74"/>
  <c r="G23" i="74"/>
  <c r="G80" i="73"/>
  <c r="I80" i="73"/>
  <c r="J80" i="73"/>
  <c r="G81" i="73"/>
  <c r="I81" i="73"/>
  <c r="J81" i="73"/>
  <c r="G82" i="73"/>
  <c r="I82" i="73"/>
  <c r="J82" i="73"/>
  <c r="G83" i="73"/>
  <c r="I83" i="73"/>
  <c r="J83" i="73"/>
  <c r="G84" i="73"/>
  <c r="I84" i="73"/>
  <c r="J84" i="73"/>
  <c r="G85" i="73"/>
  <c r="I85" i="73"/>
  <c r="J85" i="73"/>
  <c r="G86" i="73"/>
  <c r="I86" i="73"/>
  <c r="J86" i="73"/>
  <c r="G87" i="73"/>
  <c r="I87" i="73"/>
  <c r="J87" i="73"/>
  <c r="K87" i="73"/>
  <c r="G94" i="73"/>
  <c r="I94" i="73"/>
  <c r="J94" i="73"/>
  <c r="G95" i="73"/>
  <c r="I95" i="73"/>
  <c r="J95" i="73"/>
  <c r="G96" i="73"/>
  <c r="I96" i="73"/>
  <c r="J96" i="73"/>
  <c r="G97" i="73"/>
  <c r="I97" i="73"/>
  <c r="J97" i="73"/>
  <c r="G98" i="73"/>
  <c r="I98" i="73"/>
  <c r="J98" i="73"/>
  <c r="G99" i="73"/>
  <c r="I99" i="73"/>
  <c r="J99" i="73"/>
  <c r="G100" i="73"/>
  <c r="I100" i="73"/>
  <c r="J100" i="73"/>
  <c r="K100" i="73"/>
  <c r="G107" i="73"/>
  <c r="I107" i="73"/>
  <c r="J107" i="73"/>
  <c r="G108" i="73"/>
  <c r="I108" i="73"/>
  <c r="J108" i="73"/>
  <c r="G109" i="73"/>
  <c r="I109" i="73"/>
  <c r="J109" i="73"/>
  <c r="G110" i="73"/>
  <c r="I110" i="73"/>
  <c r="J110" i="73"/>
  <c r="G111" i="73"/>
  <c r="I111" i="73"/>
  <c r="J111" i="73"/>
  <c r="K111" i="73"/>
  <c r="G112" i="73"/>
  <c r="I112" i="73"/>
  <c r="J112" i="73"/>
  <c r="K112" i="73"/>
  <c r="J38" i="73"/>
  <c r="I38" i="73"/>
  <c r="G38" i="73"/>
  <c r="G25" i="73"/>
  <c r="I25" i="73"/>
  <c r="J25" i="73"/>
  <c r="G26" i="73"/>
  <c r="I26" i="73"/>
  <c r="J26" i="73"/>
  <c r="G27" i="73"/>
  <c r="I27" i="73"/>
  <c r="J27" i="73"/>
  <c r="G28" i="73"/>
  <c r="I28" i="73"/>
  <c r="J28" i="73"/>
  <c r="G29" i="73"/>
  <c r="I29" i="73"/>
  <c r="J29" i="73"/>
  <c r="G30" i="73"/>
  <c r="I30" i="73"/>
  <c r="J30" i="73"/>
  <c r="G39" i="73"/>
  <c r="I39" i="73"/>
  <c r="J39" i="73"/>
  <c r="G40" i="73"/>
  <c r="I40" i="73"/>
  <c r="J40" i="73"/>
  <c r="G41" i="73"/>
  <c r="I41" i="73"/>
  <c r="J41" i="73"/>
  <c r="G42" i="73"/>
  <c r="I42" i="73"/>
  <c r="J42" i="73"/>
  <c r="G43" i="73"/>
  <c r="I43" i="73"/>
  <c r="J43" i="73"/>
  <c r="G44" i="73"/>
  <c r="I44" i="73"/>
  <c r="J44" i="73"/>
  <c r="K44" i="73"/>
  <c r="G51" i="73"/>
  <c r="I51" i="73"/>
  <c r="J51" i="73"/>
  <c r="G52" i="73"/>
  <c r="I52" i="73"/>
  <c r="J52" i="73"/>
  <c r="G53" i="73"/>
  <c r="I53" i="73"/>
  <c r="J53" i="73"/>
  <c r="G54" i="73"/>
  <c r="I54" i="73"/>
  <c r="J54" i="73"/>
  <c r="K54" i="73"/>
  <c r="G55" i="73"/>
  <c r="I55" i="73"/>
  <c r="J55" i="73"/>
  <c r="K55" i="73"/>
  <c r="G65" i="73"/>
  <c r="I65" i="73"/>
  <c r="J65" i="73"/>
  <c r="G66" i="73"/>
  <c r="I66" i="73"/>
  <c r="J66" i="73"/>
  <c r="G67" i="73"/>
  <c r="I67" i="73"/>
  <c r="J67" i="73"/>
  <c r="G68" i="73"/>
  <c r="I68" i="73"/>
  <c r="J68" i="73"/>
  <c r="G69" i="73"/>
  <c r="I69" i="73"/>
  <c r="J69" i="73"/>
  <c r="G70" i="73"/>
  <c r="I70" i="73"/>
  <c r="J70" i="73"/>
  <c r="G71" i="73"/>
  <c r="I71" i="73"/>
  <c r="J71" i="73"/>
  <c r="G72" i="73"/>
  <c r="I72" i="73"/>
  <c r="J72" i="73"/>
  <c r="G73" i="73"/>
  <c r="I73" i="73"/>
  <c r="J73" i="73"/>
  <c r="K73" i="73"/>
  <c r="G24" i="59"/>
  <c r="I24" i="59"/>
  <c r="J24" i="59"/>
  <c r="K24" i="59"/>
  <c r="G25" i="59"/>
  <c r="G27" i="59"/>
  <c r="G30" i="59"/>
  <c r="G31" i="59"/>
  <c r="G34" i="59"/>
  <c r="G37" i="59"/>
  <c r="G39" i="59"/>
  <c r="G40" i="59"/>
  <c r="G41" i="59"/>
  <c r="G42" i="59"/>
  <c r="G43" i="59"/>
  <c r="G44" i="59"/>
  <c r="G45" i="59"/>
  <c r="G47" i="59"/>
  <c r="G48" i="59"/>
  <c r="G49" i="59"/>
  <c r="G51" i="59"/>
  <c r="G52" i="59"/>
  <c r="G54" i="59"/>
  <c r="G55" i="59"/>
  <c r="G57" i="59"/>
  <c r="G58" i="59"/>
  <c r="G60" i="59"/>
  <c r="G61" i="59"/>
  <c r="G115" i="69"/>
  <c r="J25" i="65"/>
  <c r="I25" i="65"/>
  <c r="G25" i="65"/>
  <c r="J25" i="66"/>
  <c r="I25" i="66"/>
  <c r="G25" i="66"/>
  <c r="J24" i="66"/>
  <c r="I24" i="66"/>
  <c r="G24" i="66"/>
  <c r="J25" i="68"/>
  <c r="I25" i="68"/>
  <c r="G25" i="68"/>
  <c r="J24" i="68"/>
  <c r="I24" i="68"/>
  <c r="G24" i="68"/>
  <c r="G30" i="72"/>
  <c r="I30" i="72"/>
  <c r="J30" i="72"/>
  <c r="K30" i="72"/>
  <c r="K29" i="72"/>
  <c r="J29" i="72"/>
  <c r="I29" i="72"/>
  <c r="G29" i="72"/>
  <c r="J27" i="72"/>
  <c r="I27" i="72"/>
  <c r="G27" i="72"/>
  <c r="K26" i="72"/>
  <c r="J26" i="72"/>
  <c r="I26" i="72"/>
  <c r="G26" i="72"/>
  <c r="K25" i="72"/>
  <c r="J25" i="72"/>
  <c r="I25" i="72"/>
  <c r="G25" i="72"/>
  <c r="K24" i="72"/>
  <c r="J24" i="72"/>
  <c r="I24" i="72"/>
  <c r="G24" i="72"/>
  <c r="J22" i="72"/>
  <c r="I22" i="72"/>
  <c r="G22" i="72"/>
  <c r="K21" i="72"/>
  <c r="J21" i="72"/>
  <c r="I21" i="72"/>
  <c r="G21" i="72"/>
  <c r="G34" i="71"/>
  <c r="I34" i="71"/>
  <c r="J34" i="71"/>
  <c r="K34" i="71"/>
  <c r="G35" i="71"/>
  <c r="I35" i="71"/>
  <c r="J35" i="71"/>
  <c r="G36" i="71"/>
  <c r="I36" i="71"/>
  <c r="J36" i="71"/>
  <c r="G37" i="71"/>
  <c r="I37" i="71"/>
  <c r="J37" i="71"/>
  <c r="K37" i="71"/>
  <c r="G38" i="71"/>
  <c r="K38" i="71"/>
  <c r="G39" i="71"/>
  <c r="I39" i="71"/>
  <c r="J39" i="71"/>
  <c r="K39" i="71"/>
  <c r="G40" i="71"/>
  <c r="I40" i="71"/>
  <c r="J40" i="71"/>
  <c r="G41" i="71"/>
  <c r="I41" i="71"/>
  <c r="J41" i="71"/>
  <c r="G42" i="71"/>
  <c r="I42" i="71"/>
  <c r="J42" i="71"/>
  <c r="G43" i="71"/>
  <c r="I43" i="71"/>
  <c r="J43" i="71"/>
  <c r="G44" i="71"/>
  <c r="I44" i="71"/>
  <c r="J44" i="71"/>
  <c r="K44" i="71"/>
  <c r="G45" i="71"/>
  <c r="I45" i="71"/>
  <c r="J45" i="71"/>
  <c r="K45" i="71"/>
  <c r="G46" i="71"/>
  <c r="I46" i="71"/>
  <c r="J46" i="71"/>
  <c r="G47" i="71"/>
  <c r="I47" i="71"/>
  <c r="J47" i="71"/>
  <c r="G48" i="71"/>
  <c r="I48" i="71"/>
  <c r="J48" i="71"/>
  <c r="K48" i="71"/>
  <c r="G56" i="71"/>
  <c r="K56" i="71"/>
  <c r="G57" i="71"/>
  <c r="I57" i="71"/>
  <c r="J57" i="71"/>
  <c r="K57" i="71"/>
  <c r="G58" i="71"/>
  <c r="I58" i="71"/>
  <c r="J58" i="71"/>
  <c r="G59" i="71"/>
  <c r="I59" i="71"/>
  <c r="J59" i="71"/>
  <c r="K59" i="71"/>
  <c r="G73" i="71"/>
  <c r="I73" i="71"/>
  <c r="J73" i="71"/>
  <c r="G74" i="71"/>
  <c r="I74" i="71"/>
  <c r="J74" i="71"/>
  <c r="G75" i="71"/>
  <c r="I75" i="71"/>
  <c r="J75" i="71"/>
  <c r="G76" i="71"/>
  <c r="I76" i="71"/>
  <c r="J76" i="71"/>
  <c r="G77" i="71"/>
  <c r="I77" i="71"/>
  <c r="J77" i="71"/>
  <c r="G78" i="71"/>
  <c r="I78" i="71"/>
  <c r="J78" i="71"/>
  <c r="K78" i="71"/>
  <c r="J86" i="71"/>
  <c r="K86" i="71"/>
  <c r="G87" i="71"/>
  <c r="I87" i="71"/>
  <c r="J87" i="71"/>
  <c r="K87" i="71"/>
  <c r="G88" i="71"/>
  <c r="I88" i="71"/>
  <c r="J88" i="71"/>
  <c r="G89" i="71"/>
  <c r="I89" i="71"/>
  <c r="J89" i="71"/>
  <c r="G90" i="71"/>
  <c r="I90" i="71"/>
  <c r="J90" i="71"/>
  <c r="G91" i="71"/>
  <c r="I91" i="71"/>
  <c r="J91" i="71"/>
  <c r="G92" i="71"/>
  <c r="I92" i="71"/>
  <c r="J92" i="71"/>
  <c r="K92" i="71"/>
  <c r="K93" i="71"/>
  <c r="G94" i="71"/>
  <c r="I94" i="71"/>
  <c r="J94" i="71"/>
  <c r="G95" i="71"/>
  <c r="I95" i="71"/>
  <c r="J95" i="71"/>
  <c r="G96" i="71"/>
  <c r="I96" i="71"/>
  <c r="J96" i="71"/>
  <c r="G97" i="71"/>
  <c r="I97" i="71"/>
  <c r="J97" i="71"/>
  <c r="G98" i="71"/>
  <c r="I98" i="71"/>
  <c r="J98" i="71"/>
  <c r="G99" i="71"/>
  <c r="I99" i="71"/>
  <c r="J99" i="71"/>
  <c r="K99" i="71"/>
  <c r="G107" i="71"/>
  <c r="I107" i="71"/>
  <c r="J107" i="71"/>
  <c r="K107" i="71"/>
  <c r="K26" i="71"/>
  <c r="J26" i="71"/>
  <c r="I26" i="71"/>
  <c r="G26" i="71"/>
  <c r="J25" i="71"/>
  <c r="I25" i="71"/>
  <c r="G25" i="71"/>
  <c r="J24" i="71"/>
  <c r="I24" i="71"/>
  <c r="G24" i="71"/>
  <c r="J23" i="71"/>
  <c r="I23" i="71"/>
  <c r="G23" i="71"/>
  <c r="J22" i="71"/>
  <c r="I22" i="71"/>
  <c r="G22" i="71"/>
  <c r="J21" i="71"/>
  <c r="I21" i="71"/>
  <c r="G21" i="71"/>
  <c r="G34" i="70"/>
  <c r="J34" i="70"/>
  <c r="K34" i="70"/>
  <c r="G35" i="70"/>
  <c r="I35" i="70"/>
  <c r="J35" i="70"/>
  <c r="G36" i="70"/>
  <c r="I36" i="70"/>
  <c r="J36" i="70"/>
  <c r="G37" i="70"/>
  <c r="I37" i="70"/>
  <c r="J37" i="70"/>
  <c r="G38" i="70"/>
  <c r="I38" i="70"/>
  <c r="J38" i="70"/>
  <c r="G39" i="70"/>
  <c r="I39" i="70"/>
  <c r="J39" i="70"/>
  <c r="G40" i="70"/>
  <c r="I40" i="70"/>
  <c r="J40" i="70"/>
  <c r="K40" i="70"/>
  <c r="G41" i="70"/>
  <c r="J41" i="70"/>
  <c r="K41" i="70"/>
  <c r="G42" i="70"/>
  <c r="I42" i="70"/>
  <c r="J42" i="70"/>
  <c r="G43" i="70"/>
  <c r="I43" i="70"/>
  <c r="J43" i="70"/>
  <c r="G44" i="70"/>
  <c r="I44" i="70"/>
  <c r="J44" i="70"/>
  <c r="K44" i="70"/>
  <c r="G45" i="70"/>
  <c r="I45" i="70"/>
  <c r="J45" i="70"/>
  <c r="G46" i="70"/>
  <c r="I46" i="70"/>
  <c r="J46" i="70"/>
  <c r="K46" i="70"/>
  <c r="G47" i="70"/>
  <c r="J47" i="70"/>
  <c r="K47" i="70"/>
  <c r="G48" i="70"/>
  <c r="I48" i="70"/>
  <c r="J48" i="70"/>
  <c r="G49" i="70"/>
  <c r="I49" i="70"/>
  <c r="J49" i="70"/>
  <c r="G50" i="70"/>
  <c r="I50" i="70"/>
  <c r="J50" i="70"/>
  <c r="G51" i="70"/>
  <c r="I51" i="70"/>
  <c r="J51" i="70"/>
  <c r="G52" i="70"/>
  <c r="I52" i="70"/>
  <c r="J52" i="70"/>
  <c r="G53" i="70"/>
  <c r="I53" i="70"/>
  <c r="J53" i="70"/>
  <c r="K53" i="70"/>
  <c r="G54" i="70"/>
  <c r="K54" i="70"/>
  <c r="G55" i="70"/>
  <c r="I55" i="70"/>
  <c r="J55" i="70"/>
  <c r="G56" i="70"/>
  <c r="I56" i="70"/>
  <c r="J56" i="70"/>
  <c r="G57" i="70"/>
  <c r="I57" i="70"/>
  <c r="J57" i="70"/>
  <c r="G58" i="70"/>
  <c r="I58" i="70"/>
  <c r="J58" i="70"/>
  <c r="G59" i="70"/>
  <c r="I59" i="70"/>
  <c r="J59" i="70"/>
  <c r="G60" i="70"/>
  <c r="I60" i="70"/>
  <c r="J60" i="70"/>
  <c r="K60" i="70"/>
  <c r="G61" i="70"/>
  <c r="J61" i="70"/>
  <c r="K61" i="70"/>
  <c r="G62" i="70"/>
  <c r="I62" i="70"/>
  <c r="J62" i="70"/>
  <c r="K62" i="70"/>
  <c r="G63" i="70"/>
  <c r="I63" i="70"/>
  <c r="J63" i="70"/>
  <c r="G64" i="70"/>
  <c r="I64" i="70"/>
  <c r="J64" i="70"/>
  <c r="G65" i="70"/>
  <c r="I65" i="70"/>
  <c r="J65" i="70"/>
  <c r="G66" i="70"/>
  <c r="I66" i="70"/>
  <c r="J66" i="70"/>
  <c r="G68" i="70"/>
  <c r="I68" i="70"/>
  <c r="J68" i="70"/>
  <c r="K68" i="70"/>
  <c r="G74" i="70"/>
  <c r="I74" i="70"/>
  <c r="J74" i="70"/>
  <c r="G75" i="70"/>
  <c r="I75" i="70"/>
  <c r="J75" i="70"/>
  <c r="G76" i="70"/>
  <c r="I76" i="70"/>
  <c r="J76" i="70"/>
  <c r="G77" i="70"/>
  <c r="I77" i="70"/>
  <c r="J77" i="70"/>
  <c r="G78" i="70"/>
  <c r="I78" i="70"/>
  <c r="J78" i="70"/>
  <c r="K78" i="70"/>
  <c r="G79" i="70"/>
  <c r="I79" i="70"/>
  <c r="J79" i="70"/>
  <c r="K79" i="70"/>
  <c r="G80" i="70"/>
  <c r="J80" i="70"/>
  <c r="K80" i="70"/>
  <c r="G81" i="70"/>
  <c r="I81" i="70"/>
  <c r="J81" i="70"/>
  <c r="G82" i="70"/>
  <c r="I82" i="70"/>
  <c r="J82" i="70"/>
  <c r="G83" i="70"/>
  <c r="I83" i="70"/>
  <c r="J83" i="70"/>
  <c r="G84" i="70"/>
  <c r="I84" i="70"/>
  <c r="J84" i="70"/>
  <c r="K84" i="70"/>
  <c r="G85" i="70"/>
  <c r="I85" i="70"/>
  <c r="J85" i="70"/>
  <c r="G86" i="70"/>
  <c r="I86" i="70"/>
  <c r="J86" i="70"/>
  <c r="K86" i="70"/>
  <c r="G87" i="70"/>
  <c r="J87" i="70"/>
  <c r="K87" i="70"/>
  <c r="G88" i="70"/>
  <c r="I88" i="70"/>
  <c r="J88" i="70"/>
  <c r="G89" i="70"/>
  <c r="I89" i="70"/>
  <c r="J89" i="70"/>
  <c r="K89" i="70"/>
  <c r="G90" i="70"/>
  <c r="I90" i="70"/>
  <c r="J90" i="70"/>
  <c r="G91" i="70"/>
  <c r="I91" i="70"/>
  <c r="J91" i="70"/>
  <c r="G92" i="70"/>
  <c r="I92" i="70"/>
  <c r="J92" i="70"/>
  <c r="G93" i="70"/>
  <c r="I93" i="70"/>
  <c r="J93" i="70"/>
  <c r="K93" i="70"/>
  <c r="G94" i="70"/>
  <c r="K94" i="70"/>
  <c r="G95" i="70"/>
  <c r="I95" i="70"/>
  <c r="J95" i="70"/>
  <c r="K95" i="70"/>
  <c r="G96" i="70"/>
  <c r="I96" i="70"/>
  <c r="J96" i="70"/>
  <c r="G97" i="70"/>
  <c r="I97" i="70"/>
  <c r="J97" i="70"/>
  <c r="G98" i="70"/>
  <c r="I98" i="70"/>
  <c r="J98" i="70"/>
  <c r="G99" i="70"/>
  <c r="I99" i="70"/>
  <c r="J99" i="70"/>
  <c r="G100" i="70"/>
  <c r="I100" i="70"/>
  <c r="J100" i="70"/>
  <c r="K100" i="70"/>
  <c r="G101" i="70"/>
  <c r="J101" i="70"/>
  <c r="K101" i="70"/>
  <c r="G102" i="70"/>
  <c r="I102" i="70"/>
  <c r="J102" i="70"/>
  <c r="K102" i="70"/>
  <c r="G103" i="70"/>
  <c r="I103" i="70"/>
  <c r="J103" i="70"/>
  <c r="G104" i="70"/>
  <c r="I104" i="70"/>
  <c r="J104" i="70"/>
  <c r="G105" i="70"/>
  <c r="I105" i="70"/>
  <c r="J105" i="70"/>
  <c r="G106" i="70"/>
  <c r="I106" i="70"/>
  <c r="J106" i="70"/>
  <c r="G107" i="70"/>
  <c r="I107" i="70"/>
  <c r="J107" i="70"/>
  <c r="K107" i="70"/>
  <c r="G108" i="70"/>
  <c r="J108" i="70"/>
  <c r="K108" i="70"/>
  <c r="G109" i="70"/>
  <c r="I109" i="70"/>
  <c r="J109" i="70"/>
  <c r="G110" i="70"/>
  <c r="I110" i="70"/>
  <c r="J110" i="70"/>
  <c r="G111" i="70"/>
  <c r="I111" i="70"/>
  <c r="J111" i="70"/>
  <c r="G112" i="70"/>
  <c r="I112" i="70"/>
  <c r="J112" i="70"/>
  <c r="G113" i="70"/>
  <c r="I113" i="70"/>
  <c r="J113" i="70"/>
  <c r="G114" i="70"/>
  <c r="I114" i="70"/>
  <c r="J114" i="70"/>
  <c r="K114" i="70"/>
  <c r="G115" i="70"/>
  <c r="I115" i="70"/>
  <c r="J115" i="70"/>
  <c r="K115" i="70"/>
  <c r="K26" i="70"/>
  <c r="J26" i="70"/>
  <c r="I26" i="70"/>
  <c r="G26" i="70"/>
  <c r="J25" i="70"/>
  <c r="I25" i="70"/>
  <c r="G25" i="70"/>
  <c r="J24" i="70"/>
  <c r="I24" i="70"/>
  <c r="G24" i="70"/>
  <c r="J23" i="70"/>
  <c r="I23" i="70"/>
  <c r="G23" i="70"/>
  <c r="J22" i="70"/>
  <c r="I22" i="70"/>
  <c r="G22" i="70"/>
  <c r="J21" i="70"/>
  <c r="I21" i="70"/>
  <c r="G21" i="70"/>
  <c r="G103" i="69"/>
  <c r="I103" i="69"/>
  <c r="J103" i="69"/>
  <c r="G104" i="69"/>
  <c r="I104" i="69"/>
  <c r="J104" i="69"/>
  <c r="G105" i="69"/>
  <c r="I105" i="69"/>
  <c r="J105" i="69"/>
  <c r="K105" i="69"/>
  <c r="G106" i="69"/>
  <c r="J106" i="69"/>
  <c r="K106" i="69"/>
  <c r="G107" i="69"/>
  <c r="I107" i="69"/>
  <c r="J107" i="69"/>
  <c r="G108" i="69"/>
  <c r="I108" i="69"/>
  <c r="J108" i="69"/>
  <c r="G109" i="69"/>
  <c r="I109" i="69"/>
  <c r="J109" i="69"/>
  <c r="G110" i="69"/>
  <c r="I110" i="69"/>
  <c r="J110" i="69"/>
  <c r="G111" i="69"/>
  <c r="I111" i="69"/>
  <c r="J111" i="69"/>
  <c r="G112" i="69"/>
  <c r="I112" i="69"/>
  <c r="J112" i="69"/>
  <c r="K112" i="69"/>
  <c r="G113" i="69"/>
  <c r="J113" i="69"/>
  <c r="K113" i="69"/>
  <c r="G114" i="69"/>
  <c r="I114" i="69"/>
  <c r="J114" i="69"/>
  <c r="I115" i="69"/>
  <c r="J115" i="69"/>
  <c r="G117" i="69"/>
  <c r="I117" i="69"/>
  <c r="J117" i="69"/>
  <c r="G119" i="69"/>
  <c r="I119" i="69"/>
  <c r="J119" i="69"/>
  <c r="K119" i="69"/>
  <c r="G120" i="69"/>
  <c r="K120" i="69"/>
  <c r="G121" i="69"/>
  <c r="I121" i="69"/>
  <c r="J121" i="69"/>
  <c r="K121" i="69"/>
  <c r="G122" i="69"/>
  <c r="I122" i="69"/>
  <c r="J122" i="69"/>
  <c r="G123" i="69"/>
  <c r="I123" i="69"/>
  <c r="J123" i="69"/>
  <c r="G124" i="69"/>
  <c r="I124" i="69"/>
  <c r="J124" i="69"/>
  <c r="G125" i="69"/>
  <c r="I125" i="69"/>
  <c r="J125" i="69"/>
  <c r="G126" i="69"/>
  <c r="I126" i="69"/>
  <c r="J126" i="69"/>
  <c r="K126" i="69"/>
  <c r="G127" i="69"/>
  <c r="J127" i="69"/>
  <c r="K127" i="69"/>
  <c r="G128" i="69"/>
  <c r="I128" i="69"/>
  <c r="J128" i="69"/>
  <c r="G129" i="69"/>
  <c r="I129" i="69"/>
  <c r="J129" i="69"/>
  <c r="G130" i="69"/>
  <c r="I130" i="69"/>
  <c r="J130" i="69"/>
  <c r="G131" i="69"/>
  <c r="I131" i="69"/>
  <c r="J131" i="69"/>
  <c r="G132" i="69"/>
  <c r="I132" i="69"/>
  <c r="J132" i="69"/>
  <c r="K132" i="69"/>
  <c r="G133" i="69"/>
  <c r="I133" i="69"/>
  <c r="J133" i="69"/>
  <c r="K133" i="69"/>
  <c r="G134" i="69"/>
  <c r="I134" i="69"/>
  <c r="J134" i="69"/>
  <c r="K134" i="69"/>
  <c r="G22" i="69"/>
  <c r="I22" i="69"/>
  <c r="J22" i="69"/>
  <c r="G23" i="69"/>
  <c r="I23" i="69"/>
  <c r="J23" i="69"/>
  <c r="G24" i="69"/>
  <c r="I24" i="69"/>
  <c r="J24" i="69"/>
  <c r="G25" i="69"/>
  <c r="I25" i="69"/>
  <c r="J25" i="69"/>
  <c r="G26" i="69"/>
  <c r="I26" i="69"/>
  <c r="J26" i="69"/>
  <c r="K26" i="69"/>
  <c r="G33" i="69"/>
  <c r="K33" i="69"/>
  <c r="G34" i="69"/>
  <c r="I34" i="69"/>
  <c r="J34" i="69"/>
  <c r="G35" i="69"/>
  <c r="I35" i="69"/>
  <c r="J35" i="69"/>
  <c r="G36" i="69"/>
  <c r="I36" i="69"/>
  <c r="J36" i="69"/>
  <c r="G37" i="69"/>
  <c r="I37" i="69"/>
  <c r="J37" i="69"/>
  <c r="G38" i="69"/>
  <c r="I38" i="69"/>
  <c r="J38" i="69"/>
  <c r="G39" i="69"/>
  <c r="I39" i="69"/>
  <c r="J39" i="69"/>
  <c r="K39" i="69"/>
  <c r="G40" i="69"/>
  <c r="K40" i="69"/>
  <c r="G41" i="69"/>
  <c r="I41" i="69"/>
  <c r="J41" i="69"/>
  <c r="G42" i="69"/>
  <c r="I42" i="69"/>
  <c r="J42" i="69"/>
  <c r="G43" i="69"/>
  <c r="I43" i="69"/>
  <c r="J43" i="69"/>
  <c r="G44" i="69"/>
  <c r="I44" i="69"/>
  <c r="J44" i="69"/>
  <c r="G45" i="69"/>
  <c r="I45" i="69"/>
  <c r="J45" i="69"/>
  <c r="K45" i="69"/>
  <c r="G46" i="69"/>
  <c r="I46" i="69"/>
  <c r="J46" i="69"/>
  <c r="K46" i="69"/>
  <c r="G47" i="69"/>
  <c r="I47" i="69"/>
  <c r="J47" i="69"/>
  <c r="K47" i="69"/>
  <c r="G48" i="69"/>
  <c r="I48" i="69"/>
  <c r="J48" i="69"/>
  <c r="G49" i="69"/>
  <c r="I49" i="69"/>
  <c r="J49" i="69"/>
  <c r="G50" i="69"/>
  <c r="I50" i="69"/>
  <c r="J50" i="69"/>
  <c r="G51" i="69"/>
  <c r="I51" i="69"/>
  <c r="J51" i="69"/>
  <c r="K51" i="69"/>
  <c r="G52" i="69"/>
  <c r="I52" i="69"/>
  <c r="J52" i="69"/>
  <c r="K52" i="69"/>
  <c r="G53" i="69"/>
  <c r="I53" i="69"/>
  <c r="J53" i="69"/>
  <c r="K53" i="69"/>
  <c r="G54" i="69"/>
  <c r="I54" i="69"/>
  <c r="J54" i="69"/>
  <c r="K54" i="69"/>
  <c r="G55" i="69"/>
  <c r="I55" i="69"/>
  <c r="J55" i="69"/>
  <c r="G56" i="69"/>
  <c r="I56" i="69"/>
  <c r="J56" i="69"/>
  <c r="G57" i="69"/>
  <c r="I57" i="69"/>
  <c r="J57" i="69"/>
  <c r="G58" i="69"/>
  <c r="I58" i="69"/>
  <c r="J58" i="69"/>
  <c r="K58" i="69"/>
  <c r="G59" i="69"/>
  <c r="I59" i="69"/>
  <c r="J59" i="69"/>
  <c r="K59" i="69"/>
  <c r="G67" i="69"/>
  <c r="J67" i="69"/>
  <c r="K67" i="69"/>
  <c r="G68" i="69"/>
  <c r="I68" i="69"/>
  <c r="J68" i="69"/>
  <c r="G69" i="69"/>
  <c r="I69" i="69"/>
  <c r="J69" i="69"/>
  <c r="G70" i="69"/>
  <c r="I70" i="69"/>
  <c r="J70" i="69"/>
  <c r="G71" i="69"/>
  <c r="I71" i="69"/>
  <c r="J71" i="69"/>
  <c r="G72" i="69"/>
  <c r="I72" i="69"/>
  <c r="J72" i="69"/>
  <c r="G73" i="69"/>
  <c r="I73" i="69"/>
  <c r="J73" i="69"/>
  <c r="K73" i="69"/>
  <c r="G74" i="69"/>
  <c r="I74" i="69"/>
  <c r="J74" i="69"/>
  <c r="K74" i="69"/>
  <c r="G75" i="69"/>
  <c r="I75" i="69"/>
  <c r="J75" i="69"/>
  <c r="K75" i="69"/>
  <c r="G76" i="69"/>
  <c r="I76" i="69"/>
  <c r="J76" i="69"/>
  <c r="G77" i="69"/>
  <c r="I77" i="69"/>
  <c r="J77" i="69"/>
  <c r="G78" i="69"/>
  <c r="I78" i="69"/>
  <c r="J78" i="69"/>
  <c r="K78" i="69"/>
  <c r="G79" i="69"/>
  <c r="I79" i="69"/>
  <c r="J79" i="69"/>
  <c r="G88" i="69"/>
  <c r="I88" i="69"/>
  <c r="J88" i="69"/>
  <c r="K88" i="69"/>
  <c r="G94" i="69"/>
  <c r="I94" i="69"/>
  <c r="J94" i="69"/>
  <c r="G95" i="69"/>
  <c r="I95" i="69"/>
  <c r="J95" i="69"/>
  <c r="G96" i="69"/>
  <c r="I96" i="69"/>
  <c r="J96" i="69"/>
  <c r="G97" i="69"/>
  <c r="I97" i="69"/>
  <c r="J97" i="69"/>
  <c r="G98" i="69"/>
  <c r="I98" i="69"/>
  <c r="J98" i="69"/>
  <c r="G99" i="69"/>
  <c r="I99" i="69"/>
  <c r="J99" i="69"/>
  <c r="K99" i="69"/>
  <c r="G100" i="69"/>
  <c r="J100" i="69"/>
  <c r="K100" i="69"/>
  <c r="G101" i="69"/>
  <c r="I101" i="69"/>
  <c r="J101" i="69"/>
  <c r="G102" i="69"/>
  <c r="I102" i="69"/>
  <c r="J102" i="69"/>
  <c r="J21" i="69"/>
  <c r="I21" i="69"/>
  <c r="G21" i="69"/>
  <c r="J49" i="59"/>
  <c r="I49" i="59"/>
  <c r="K32" i="68"/>
  <c r="J32" i="68"/>
  <c r="I32" i="68"/>
  <c r="G32" i="68"/>
  <c r="J31" i="68"/>
  <c r="I31" i="68"/>
  <c r="G31" i="68"/>
  <c r="J28" i="68"/>
  <c r="I28" i="68"/>
  <c r="G28" i="68"/>
  <c r="K32" i="66"/>
  <c r="J32" i="66"/>
  <c r="I32" i="66"/>
  <c r="G32" i="66"/>
  <c r="J31" i="66"/>
  <c r="I31" i="66"/>
  <c r="G31" i="66"/>
  <c r="K28" i="66"/>
  <c r="J28" i="66"/>
  <c r="I28" i="66"/>
  <c r="G28" i="66"/>
  <c r="K32" i="65"/>
  <c r="J32" i="65"/>
  <c r="I32" i="65"/>
  <c r="G32" i="65"/>
  <c r="J31" i="65"/>
  <c r="I31" i="65"/>
  <c r="G31" i="65"/>
  <c r="J28" i="65"/>
  <c r="I28" i="65"/>
  <c r="G28" i="65"/>
  <c r="K32" i="64"/>
  <c r="J32" i="64"/>
  <c r="I32" i="64"/>
  <c r="G32" i="64"/>
  <c r="J31" i="64"/>
  <c r="I31" i="64"/>
  <c r="G31" i="64"/>
  <c r="J28" i="64"/>
  <c r="I28" i="64"/>
  <c r="G28" i="64"/>
  <c r="K32" i="61"/>
  <c r="J32" i="61"/>
  <c r="I32" i="61"/>
  <c r="G32" i="61"/>
  <c r="J31" i="61"/>
  <c r="I31" i="61"/>
  <c r="G31" i="61"/>
  <c r="J28" i="61"/>
  <c r="I28" i="61"/>
  <c r="G28" i="61"/>
  <c r="K31" i="60"/>
  <c r="J31" i="60"/>
  <c r="I31" i="60"/>
  <c r="G31" i="60"/>
  <c r="J30" i="60"/>
  <c r="I30" i="60"/>
  <c r="G30" i="60"/>
  <c r="J27" i="60"/>
  <c r="I27" i="60"/>
  <c r="G27" i="60"/>
  <c r="J27" i="59"/>
  <c r="I27" i="59"/>
  <c r="J30" i="59"/>
  <c r="I30" i="59"/>
  <c r="K53" i="68"/>
  <c r="J53" i="68"/>
  <c r="I53" i="68"/>
  <c r="G53" i="68"/>
  <c r="K49" i="68"/>
  <c r="J49" i="68"/>
  <c r="I49" i="68"/>
  <c r="G49" i="68"/>
  <c r="J48" i="68"/>
  <c r="I48" i="68"/>
  <c r="G48" i="68"/>
  <c r="J47" i="68"/>
  <c r="I47" i="68"/>
  <c r="G47" i="68"/>
  <c r="K45" i="68"/>
  <c r="J45" i="68"/>
  <c r="I45" i="68"/>
  <c r="G45" i="68"/>
  <c r="K44" i="68"/>
  <c r="J44" i="68"/>
  <c r="I44" i="68"/>
  <c r="G44" i="68"/>
  <c r="K42" i="68"/>
  <c r="J42" i="68"/>
  <c r="I42" i="68"/>
  <c r="G42" i="68"/>
  <c r="J41" i="68"/>
  <c r="I41" i="68"/>
  <c r="G41" i="68"/>
  <c r="J40" i="68"/>
  <c r="I40" i="68"/>
  <c r="G40" i="68"/>
  <c r="K38" i="68"/>
  <c r="J38" i="68"/>
  <c r="I38" i="68"/>
  <c r="G38" i="68"/>
  <c r="K37" i="68"/>
  <c r="J37" i="68"/>
  <c r="I37" i="68"/>
  <c r="K35" i="68"/>
  <c r="J35" i="68"/>
  <c r="I35" i="68"/>
  <c r="G35" i="68"/>
  <c r="K34" i="68"/>
  <c r="J34" i="68"/>
  <c r="I34" i="68"/>
  <c r="K26" i="68"/>
  <c r="J26" i="68"/>
  <c r="I26" i="68"/>
  <c r="G26" i="68"/>
  <c r="K56" i="66"/>
  <c r="J56" i="66"/>
  <c r="I56" i="66"/>
  <c r="G56" i="66"/>
  <c r="K55" i="66"/>
  <c r="J55" i="66"/>
  <c r="I55" i="66"/>
  <c r="G55" i="66"/>
  <c r="J51" i="66"/>
  <c r="I51" i="66"/>
  <c r="G51" i="66"/>
  <c r="K49" i="66"/>
  <c r="J49" i="66"/>
  <c r="I49" i="66"/>
  <c r="G49" i="66"/>
  <c r="J48" i="66"/>
  <c r="I48" i="66"/>
  <c r="G48" i="66"/>
  <c r="K46" i="66"/>
  <c r="J46" i="66"/>
  <c r="I46" i="66"/>
  <c r="G46" i="66"/>
  <c r="J45" i="66"/>
  <c r="I45" i="66"/>
  <c r="G45" i="66"/>
  <c r="K43" i="66"/>
  <c r="J43" i="66"/>
  <c r="I43" i="66"/>
  <c r="G43" i="66"/>
  <c r="J42" i="66"/>
  <c r="I42" i="66"/>
  <c r="G42" i="66"/>
  <c r="J41" i="66"/>
  <c r="I41" i="66"/>
  <c r="G41" i="66"/>
  <c r="J40" i="66"/>
  <c r="I40" i="66"/>
  <c r="G40" i="66"/>
  <c r="K38" i="66"/>
  <c r="J38" i="66"/>
  <c r="I38" i="66"/>
  <c r="G38" i="66"/>
  <c r="K37" i="66"/>
  <c r="J37" i="66"/>
  <c r="I37" i="66"/>
  <c r="K35" i="66"/>
  <c r="J35" i="66"/>
  <c r="I35" i="66"/>
  <c r="G35" i="66"/>
  <c r="K34" i="66"/>
  <c r="J34" i="66"/>
  <c r="I34" i="66"/>
  <c r="K26" i="66"/>
  <c r="J26" i="66"/>
  <c r="I26" i="66"/>
  <c r="G26" i="66"/>
  <c r="K64" i="65"/>
  <c r="J64" i="65"/>
  <c r="I64" i="65"/>
  <c r="G64" i="65"/>
  <c r="K63" i="65"/>
  <c r="J63" i="65"/>
  <c r="I63" i="65"/>
  <c r="G63" i="65"/>
  <c r="J59" i="65"/>
  <c r="I59" i="65"/>
  <c r="G59" i="65"/>
  <c r="J58" i="65"/>
  <c r="I58" i="65"/>
  <c r="G58" i="65"/>
  <c r="K56" i="65"/>
  <c r="J56" i="65"/>
  <c r="I56" i="65"/>
  <c r="G56" i="65"/>
  <c r="J55" i="65"/>
  <c r="I55" i="65"/>
  <c r="G55" i="65"/>
  <c r="K53" i="65"/>
  <c r="J53" i="65"/>
  <c r="I53" i="65"/>
  <c r="G53" i="65"/>
  <c r="J52" i="65"/>
  <c r="I52" i="65"/>
  <c r="G52" i="65"/>
  <c r="K50" i="65"/>
  <c r="J50" i="65"/>
  <c r="I50" i="65"/>
  <c r="G50" i="65"/>
  <c r="J49" i="65"/>
  <c r="I49" i="65"/>
  <c r="G49" i="65"/>
  <c r="K48" i="65"/>
  <c r="J48" i="65"/>
  <c r="I48" i="65"/>
  <c r="G48" i="65"/>
  <c r="K46" i="65"/>
  <c r="J46" i="65"/>
  <c r="I46" i="65"/>
  <c r="G46" i="65"/>
  <c r="J45" i="65"/>
  <c r="I45" i="65"/>
  <c r="G45" i="65"/>
  <c r="J44" i="65"/>
  <c r="I44" i="65"/>
  <c r="G44" i="65"/>
  <c r="J43" i="65"/>
  <c r="I43" i="65"/>
  <c r="G43" i="65"/>
  <c r="J42" i="65"/>
  <c r="I42" i="65"/>
  <c r="G42" i="65"/>
  <c r="J41" i="65"/>
  <c r="I41" i="65"/>
  <c r="G41" i="65"/>
  <c r="J40" i="65"/>
  <c r="I40" i="65"/>
  <c r="G40" i="65"/>
  <c r="K38" i="65"/>
  <c r="J38" i="65"/>
  <c r="I38" i="65"/>
  <c r="G38" i="65"/>
  <c r="K37" i="65"/>
  <c r="J37" i="65"/>
  <c r="I37" i="65"/>
  <c r="K35" i="65"/>
  <c r="J35" i="65"/>
  <c r="I35" i="65"/>
  <c r="G35" i="65"/>
  <c r="K34" i="65"/>
  <c r="J34" i="65"/>
  <c r="I34" i="65"/>
  <c r="K26" i="65"/>
  <c r="J26" i="65"/>
  <c r="I26" i="65"/>
  <c r="G26" i="65"/>
  <c r="K63" i="64"/>
  <c r="J63" i="64"/>
  <c r="I63" i="64"/>
  <c r="G63" i="64"/>
  <c r="K62" i="64"/>
  <c r="J62" i="64"/>
  <c r="I62" i="64"/>
  <c r="G62" i="64"/>
  <c r="K61" i="64"/>
  <c r="J61" i="64"/>
  <c r="I61" i="64"/>
  <c r="G61" i="64"/>
  <c r="J60" i="64"/>
  <c r="I60" i="64"/>
  <c r="G60" i="64"/>
  <c r="K58" i="64"/>
  <c r="J58" i="64"/>
  <c r="I58" i="64"/>
  <c r="G58" i="64"/>
  <c r="J57" i="64"/>
  <c r="I57" i="64"/>
  <c r="G57" i="64"/>
  <c r="K55" i="64"/>
  <c r="J55" i="64"/>
  <c r="I55" i="64"/>
  <c r="G55" i="64"/>
  <c r="K54" i="64"/>
  <c r="J54" i="64"/>
  <c r="I54" i="64"/>
  <c r="G54" i="64"/>
  <c r="K52" i="64"/>
  <c r="J52" i="64"/>
  <c r="I52" i="64"/>
  <c r="G52" i="64"/>
  <c r="K51" i="64"/>
  <c r="J51" i="64"/>
  <c r="I51" i="64"/>
  <c r="G51" i="64"/>
  <c r="J50" i="64"/>
  <c r="I50" i="64"/>
  <c r="G50" i="64"/>
  <c r="K49" i="64"/>
  <c r="J49" i="64"/>
  <c r="I49" i="64"/>
  <c r="G49" i="64"/>
  <c r="K47" i="64"/>
  <c r="J47" i="64"/>
  <c r="I47" i="64"/>
  <c r="G47" i="64"/>
  <c r="J46" i="64"/>
  <c r="I46" i="64"/>
  <c r="G46" i="64"/>
  <c r="J45" i="64"/>
  <c r="I45" i="64"/>
  <c r="G45" i="64"/>
  <c r="J44" i="64"/>
  <c r="I44" i="64"/>
  <c r="G44" i="64"/>
  <c r="J43" i="64"/>
  <c r="I43" i="64"/>
  <c r="G43" i="64"/>
  <c r="J42" i="64"/>
  <c r="I42" i="64"/>
  <c r="G42" i="64"/>
  <c r="J41" i="64"/>
  <c r="I41" i="64"/>
  <c r="G41" i="64"/>
  <c r="J40" i="64"/>
  <c r="I40" i="64"/>
  <c r="G40" i="64"/>
  <c r="K38" i="64"/>
  <c r="J38" i="64"/>
  <c r="I38" i="64"/>
  <c r="G38" i="64"/>
  <c r="K37" i="64"/>
  <c r="J37" i="64"/>
  <c r="I37" i="64"/>
  <c r="K35" i="64"/>
  <c r="J35" i="64"/>
  <c r="I35" i="64"/>
  <c r="G35" i="64"/>
  <c r="K34" i="64"/>
  <c r="J34" i="64"/>
  <c r="I34" i="64"/>
  <c r="K26" i="64"/>
  <c r="J26" i="64"/>
  <c r="I26" i="64"/>
  <c r="G26" i="64"/>
  <c r="J25" i="64"/>
  <c r="I25" i="64"/>
  <c r="G25" i="64"/>
  <c r="K59" i="60"/>
  <c r="J59" i="60"/>
  <c r="I59" i="60"/>
  <c r="G59" i="60"/>
  <c r="K58" i="60"/>
  <c r="J58" i="60"/>
  <c r="I58" i="60"/>
  <c r="G58" i="60"/>
  <c r="K57" i="60"/>
  <c r="J57" i="60"/>
  <c r="I57" i="60"/>
  <c r="G57" i="60"/>
  <c r="K56" i="60"/>
  <c r="J56" i="60"/>
  <c r="I56" i="60"/>
  <c r="G56" i="60"/>
  <c r="K54" i="60"/>
  <c r="J54" i="60"/>
  <c r="I54" i="60"/>
  <c r="G54" i="60"/>
  <c r="K53" i="60"/>
  <c r="J53" i="60"/>
  <c r="I53" i="60"/>
  <c r="G53" i="60"/>
  <c r="K51" i="60"/>
  <c r="J51" i="60"/>
  <c r="I51" i="60"/>
  <c r="G51" i="60"/>
  <c r="K50" i="60"/>
  <c r="J50" i="60"/>
  <c r="I50" i="60"/>
  <c r="G50" i="60"/>
  <c r="K48" i="60"/>
  <c r="J48" i="60"/>
  <c r="I48" i="60"/>
  <c r="G48" i="60"/>
  <c r="K47" i="60"/>
  <c r="J47" i="60"/>
  <c r="I47" i="60"/>
  <c r="G47" i="60"/>
  <c r="K43" i="60"/>
  <c r="J43" i="60"/>
  <c r="I43" i="60"/>
  <c r="G43" i="60"/>
  <c r="K42" i="60"/>
  <c r="J42" i="60"/>
  <c r="I42" i="60"/>
  <c r="G42" i="60"/>
  <c r="K41" i="60"/>
  <c r="J41" i="60"/>
  <c r="I41" i="60"/>
  <c r="G41" i="60"/>
  <c r="K40" i="60"/>
  <c r="J40" i="60"/>
  <c r="I40" i="60"/>
  <c r="G40" i="60"/>
  <c r="K39" i="60"/>
  <c r="J39" i="60"/>
  <c r="I39" i="60"/>
  <c r="G39" i="60"/>
  <c r="K37" i="60"/>
  <c r="J37" i="60"/>
  <c r="I37" i="60"/>
  <c r="G37" i="60"/>
  <c r="K36" i="60"/>
  <c r="J36" i="60"/>
  <c r="I36" i="60"/>
  <c r="K34" i="60"/>
  <c r="J34" i="60"/>
  <c r="I34" i="60"/>
  <c r="G34" i="60"/>
  <c r="K33" i="60"/>
  <c r="J33" i="60"/>
  <c r="I33" i="60"/>
  <c r="K25" i="60"/>
  <c r="J25" i="60"/>
  <c r="I25" i="60"/>
  <c r="G25" i="60"/>
  <c r="K24" i="60"/>
  <c r="J24" i="60"/>
  <c r="I24" i="60"/>
  <c r="G24" i="60"/>
  <c r="K63" i="59"/>
  <c r="J63" i="59"/>
  <c r="I63" i="59"/>
  <c r="G63" i="59"/>
  <c r="K62" i="59"/>
  <c r="J62" i="59"/>
  <c r="I62" i="59"/>
  <c r="G62" i="59"/>
  <c r="J61" i="59"/>
  <c r="I61" i="59"/>
  <c r="J60" i="59"/>
  <c r="I60" i="59"/>
  <c r="K58" i="59"/>
  <c r="J58" i="59"/>
  <c r="I58" i="59"/>
  <c r="J57" i="59"/>
  <c r="I57" i="59"/>
  <c r="K55" i="59"/>
  <c r="J55" i="59"/>
  <c r="I55" i="59"/>
  <c r="J54" i="59"/>
  <c r="I54" i="59"/>
  <c r="K52" i="59"/>
  <c r="J52" i="59"/>
  <c r="I52" i="59"/>
  <c r="J51" i="59"/>
  <c r="I51" i="59"/>
  <c r="J48" i="59"/>
  <c r="I48" i="59"/>
  <c r="J47" i="59"/>
  <c r="I47" i="59"/>
  <c r="K45" i="59"/>
  <c r="J45" i="59"/>
  <c r="I45" i="59"/>
  <c r="J44" i="59"/>
  <c r="I44" i="59"/>
  <c r="J43" i="59"/>
  <c r="I43" i="59"/>
  <c r="J42" i="59"/>
  <c r="I42" i="59"/>
  <c r="J41" i="59"/>
  <c r="I41" i="59"/>
  <c r="J40" i="59"/>
  <c r="I40" i="59"/>
  <c r="J39" i="59"/>
  <c r="I39" i="59"/>
  <c r="K37" i="59"/>
  <c r="J37" i="59"/>
  <c r="I37" i="59"/>
  <c r="K36" i="59"/>
  <c r="J36" i="59"/>
  <c r="I36" i="59"/>
  <c r="K34" i="59"/>
  <c r="J34" i="59"/>
  <c r="I34" i="59"/>
  <c r="K33" i="59"/>
  <c r="J33" i="59"/>
  <c r="I33" i="59"/>
  <c r="K31" i="59"/>
  <c r="J31" i="59"/>
  <c r="I31" i="59"/>
  <c r="K25" i="59"/>
  <c r="J25" i="59"/>
  <c r="I25" i="59"/>
  <c r="K35" i="61"/>
  <c r="J35" i="61"/>
  <c r="I35" i="61"/>
  <c r="G35" i="61"/>
  <c r="K34" i="61"/>
  <c r="J34" i="61"/>
  <c r="I34" i="61"/>
  <c r="K54" i="61"/>
  <c r="J54" i="61"/>
  <c r="I54" i="61"/>
  <c r="G54" i="61"/>
  <c r="K25" i="61"/>
  <c r="J25" i="61"/>
  <c r="I25" i="61"/>
  <c r="G25" i="61"/>
  <c r="K63" i="61"/>
  <c r="J63" i="61"/>
  <c r="I63" i="61"/>
  <c r="G63" i="61"/>
  <c r="K62" i="61"/>
  <c r="J62" i="61"/>
  <c r="I62" i="61"/>
  <c r="G62" i="61"/>
  <c r="J61" i="61"/>
  <c r="I61" i="61"/>
  <c r="G61" i="61"/>
  <c r="J60" i="61"/>
  <c r="I60" i="61"/>
  <c r="G60" i="61"/>
  <c r="K58" i="61"/>
  <c r="J58" i="61"/>
  <c r="I58" i="61"/>
  <c r="G58" i="61"/>
  <c r="K57" i="61"/>
  <c r="J57" i="61"/>
  <c r="I57" i="61"/>
  <c r="G57" i="61"/>
  <c r="K55" i="61"/>
  <c r="J55" i="61"/>
  <c r="I55" i="61"/>
  <c r="G55" i="61"/>
  <c r="K52" i="61"/>
  <c r="J52" i="61"/>
  <c r="I52" i="61"/>
  <c r="G52" i="61"/>
  <c r="J51" i="61"/>
  <c r="I51" i="61"/>
  <c r="G51" i="61"/>
  <c r="J49" i="61"/>
  <c r="I49" i="61"/>
  <c r="G49" i="61"/>
  <c r="K47" i="61"/>
  <c r="J47" i="61"/>
  <c r="I47" i="61"/>
  <c r="G47" i="61"/>
  <c r="J46" i="61"/>
  <c r="I46" i="61"/>
  <c r="G46" i="61"/>
  <c r="J45" i="61"/>
  <c r="I45" i="61"/>
  <c r="G45" i="61"/>
  <c r="J44" i="61"/>
  <c r="I44" i="61"/>
  <c r="G44" i="61"/>
  <c r="J43" i="61"/>
  <c r="I43" i="61"/>
  <c r="G43" i="61"/>
  <c r="J42" i="61"/>
  <c r="I42" i="61"/>
  <c r="G42" i="61"/>
  <c r="J41" i="61"/>
  <c r="I41" i="61"/>
  <c r="G41" i="61"/>
  <c r="J40" i="61"/>
  <c r="I40" i="61"/>
  <c r="G40" i="61"/>
  <c r="K38" i="61"/>
  <c r="J38" i="61"/>
  <c r="I38" i="61"/>
  <c r="G38" i="61"/>
  <c r="K37" i="61"/>
  <c r="J37" i="61"/>
  <c r="I37" i="61"/>
  <c r="K26" i="61"/>
  <c r="J26" i="61"/>
  <c r="I26" i="61"/>
  <c r="G26" i="61"/>
  <c r="K60" i="59" l="1"/>
  <c r="K58" i="70"/>
  <c r="K76" i="69"/>
  <c r="K45" i="66"/>
  <c r="K98" i="70"/>
  <c r="K48" i="68"/>
  <c r="K122" i="69"/>
  <c r="K28" i="65"/>
  <c r="K43" i="64"/>
  <c r="K110" i="70"/>
  <c r="K22" i="72"/>
  <c r="K95" i="73"/>
  <c r="K69" i="73"/>
  <c r="K59" i="70"/>
  <c r="K80" i="73"/>
  <c r="K96" i="70"/>
  <c r="K57" i="64"/>
  <c r="K27" i="59"/>
  <c r="K25" i="73"/>
  <c r="K40" i="64"/>
  <c r="K52" i="65"/>
  <c r="K43" i="69"/>
  <c r="K22" i="70"/>
  <c r="K65" i="73"/>
  <c r="K49" i="61"/>
  <c r="K22" i="69"/>
  <c r="K71" i="73"/>
  <c r="K28" i="68"/>
  <c r="K82" i="70"/>
  <c r="K56" i="70"/>
  <c r="K28" i="61"/>
  <c r="K51" i="73"/>
  <c r="K27" i="74"/>
  <c r="K27" i="60"/>
  <c r="K57" i="69"/>
  <c r="K44" i="69"/>
  <c r="K131" i="69"/>
  <c r="K49" i="70"/>
  <c r="K38" i="73"/>
  <c r="K49" i="65"/>
  <c r="K77" i="70"/>
  <c r="K110" i="73"/>
  <c r="K83" i="73"/>
  <c r="K54" i="59"/>
  <c r="K50" i="64"/>
  <c r="K24" i="74"/>
  <c r="K60" i="61"/>
  <c r="K47" i="68"/>
  <c r="K51" i="66"/>
  <c r="K69" i="69"/>
  <c r="K97" i="71"/>
  <c r="K42" i="66"/>
  <c r="K51" i="70"/>
  <c r="K94" i="73"/>
  <c r="K58" i="65"/>
  <c r="K88" i="71"/>
  <c r="K52" i="70"/>
  <c r="K22" i="71"/>
  <c r="K74" i="71"/>
  <c r="K43" i="61"/>
  <c r="K59" i="65"/>
  <c r="K61" i="59"/>
  <c r="K63" i="70"/>
  <c r="K40" i="61"/>
  <c r="K95" i="69"/>
  <c r="K48" i="69"/>
  <c r="K110" i="69"/>
  <c r="K76" i="71"/>
  <c r="K45" i="61"/>
  <c r="K24" i="69"/>
  <c r="K129" i="69"/>
  <c r="K92" i="70"/>
  <c r="K98" i="69"/>
  <c r="K36" i="70"/>
  <c r="K91" i="71"/>
  <c r="K97" i="73"/>
  <c r="K67" i="73"/>
  <c r="K40" i="73"/>
  <c r="K105" i="70"/>
  <c r="K91" i="70"/>
  <c r="K111" i="69"/>
  <c r="K25" i="70"/>
  <c r="K66" i="73"/>
  <c r="K42" i="61"/>
  <c r="K41" i="68"/>
  <c r="K65" i="70"/>
  <c r="K30" i="60"/>
  <c r="K31" i="61"/>
  <c r="K31" i="64"/>
  <c r="K31" i="65"/>
  <c r="K31" i="66"/>
  <c r="K31" i="68"/>
  <c r="K71" i="69"/>
  <c r="K53" i="73"/>
  <c r="K41" i="59"/>
  <c r="K40" i="66"/>
  <c r="K77" i="69"/>
  <c r="K125" i="69"/>
  <c r="K123" i="69"/>
  <c r="K117" i="69"/>
  <c r="K99" i="70"/>
  <c r="K24" i="71"/>
  <c r="K41" i="64"/>
  <c r="K44" i="64"/>
  <c r="K44" i="65"/>
  <c r="K97" i="69"/>
  <c r="K25" i="69"/>
  <c r="K23" i="69"/>
  <c r="K90" i="71"/>
  <c r="K27" i="73"/>
  <c r="K109" i="73"/>
  <c r="K56" i="69"/>
  <c r="K111" i="70"/>
  <c r="K86" i="73"/>
  <c r="K23" i="70"/>
  <c r="K42" i="69"/>
  <c r="K113" i="70"/>
  <c r="K41" i="65"/>
  <c r="K49" i="69"/>
  <c r="K112" i="70"/>
  <c r="K51" i="61"/>
  <c r="K66" i="70"/>
  <c r="K64" i="70"/>
  <c r="K52" i="73"/>
  <c r="K39" i="70"/>
  <c r="K77" i="71"/>
  <c r="K75" i="71"/>
  <c r="K42" i="64"/>
  <c r="K102" i="69"/>
  <c r="K26" i="73"/>
  <c r="K108" i="73"/>
  <c r="K31" i="74"/>
  <c r="K90" i="70"/>
  <c r="K84" i="73"/>
  <c r="K97" i="70"/>
  <c r="K76" i="70"/>
  <c r="K50" i="70"/>
  <c r="K45" i="70"/>
  <c r="K37" i="70"/>
  <c r="K89" i="71"/>
  <c r="K36" i="71"/>
  <c r="K96" i="69"/>
  <c r="K72" i="69"/>
  <c r="K70" i="69"/>
  <c r="K36" i="69"/>
  <c r="K130" i="69"/>
  <c r="K45" i="65"/>
  <c r="K72" i="73"/>
  <c r="K23" i="71"/>
  <c r="K46" i="61"/>
  <c r="K109" i="69"/>
  <c r="K106" i="70"/>
  <c r="K104" i="70"/>
  <c r="K83" i="70"/>
  <c r="K57" i="70"/>
  <c r="K96" i="71"/>
  <c r="K47" i="71"/>
  <c r="K25" i="66" l="1"/>
  <c r="K25" i="68"/>
</calcChain>
</file>

<file path=xl/sharedStrings.xml><?xml version="1.0" encoding="utf-8"?>
<sst xmlns="http://schemas.openxmlformats.org/spreadsheetml/2006/main" count="2686" uniqueCount="944">
  <si>
    <t>Format</t>
  </si>
  <si>
    <t>FX</t>
  </si>
  <si>
    <t>Megapixels</t>
  </si>
  <si>
    <t>Continuous Shooting</t>
  </si>
  <si>
    <t>ISO</t>
  </si>
  <si>
    <t>Video</t>
  </si>
  <si>
    <t>Memory</t>
  </si>
  <si>
    <t>Monitor Size</t>
  </si>
  <si>
    <t>Lenses</t>
  </si>
  <si>
    <t>Speedlights/Flashes</t>
  </si>
  <si>
    <t>CAMNIACSB5000</t>
  </si>
  <si>
    <t>CAMNIACSU800</t>
  </si>
  <si>
    <t>FSW53801</t>
  </si>
  <si>
    <t>CAMNIACSB700</t>
  </si>
  <si>
    <t>FSA03901</t>
  </si>
  <si>
    <t>CAMNIACSB500</t>
  </si>
  <si>
    <t>FSA04201</t>
  </si>
  <si>
    <t>CAMNIACR1</t>
  </si>
  <si>
    <t>FSA906BA</t>
  </si>
  <si>
    <t>CAMNIACSBR200</t>
  </si>
  <si>
    <t>FSA90601</t>
  </si>
  <si>
    <t>CAMNIACR1C1</t>
  </si>
  <si>
    <t>FSA906CA</t>
  </si>
  <si>
    <t>Power Accessories</t>
  </si>
  <si>
    <t>CAMNIACMH25A</t>
  </si>
  <si>
    <t>VEA016EA</t>
  </si>
  <si>
    <t>Microphones</t>
  </si>
  <si>
    <t>CAMNIACME1</t>
  </si>
  <si>
    <t>VBW30001</t>
  </si>
  <si>
    <t>Remotes &amp; Releases</t>
  </si>
  <si>
    <t>Cords &amp; Cables</t>
  </si>
  <si>
    <t>Body Cap</t>
  </si>
  <si>
    <t>CAMNIACMCDC2</t>
  </si>
  <si>
    <t>VDR00101</t>
  </si>
  <si>
    <t>CAMNIACMC36A</t>
  </si>
  <si>
    <t>CAMNIACWRT10</t>
  </si>
  <si>
    <t>VBJ003AE</t>
  </si>
  <si>
    <t>CAMNIACWRA10</t>
  </si>
  <si>
    <t>VWD00701</t>
  </si>
  <si>
    <t>CAMNIACENEL18C</t>
  </si>
  <si>
    <t>CAMNIACMH26A</t>
  </si>
  <si>
    <t>TBC</t>
  </si>
  <si>
    <t>10 FPS</t>
  </si>
  <si>
    <t>CAMNIACEP5A</t>
  </si>
  <si>
    <t>VEB00801</t>
  </si>
  <si>
    <t>DX</t>
  </si>
  <si>
    <t>CAMNIACGP1A</t>
  </si>
  <si>
    <t>Barcode</t>
  </si>
  <si>
    <t>Order Code</t>
  </si>
  <si>
    <t>14 FPS</t>
  </si>
  <si>
    <t>018208042166</t>
  </si>
  <si>
    <t>018208042234</t>
  </si>
  <si>
    <t>Product Code</t>
  </si>
  <si>
    <t>Speedlights</t>
  </si>
  <si>
    <t>SB-5000</t>
  </si>
  <si>
    <t>SB-500</t>
  </si>
  <si>
    <t>SB-700</t>
  </si>
  <si>
    <t>SD UHS-I/SDHC/SDXC</t>
  </si>
  <si>
    <t>11 FPS</t>
  </si>
  <si>
    <t>DK-30 Rubber Eyecup</t>
  </si>
  <si>
    <t>LENNI10-20ED</t>
  </si>
  <si>
    <t>CAMNIACNC72</t>
  </si>
  <si>
    <t>CAMNIACCPLII72</t>
  </si>
  <si>
    <t>CAMNIACNC77</t>
  </si>
  <si>
    <t>CAMNIACCPLII77</t>
  </si>
  <si>
    <t>CAMNIACNC58</t>
  </si>
  <si>
    <t>CAMNIACCPLII58</t>
  </si>
  <si>
    <t>CAMNIACNC67</t>
  </si>
  <si>
    <t>CAMNIACCPLII67</t>
  </si>
  <si>
    <t>CAMNIACNC62</t>
  </si>
  <si>
    <t>CAMNIACCPLII62</t>
  </si>
  <si>
    <t>CAMNIACNC52</t>
  </si>
  <si>
    <t>CAMNIACCPLII52</t>
  </si>
  <si>
    <t>CAMNIACNC82</t>
  </si>
  <si>
    <t>CAMNIACCPLII82</t>
  </si>
  <si>
    <t>Item number</t>
  </si>
  <si>
    <t>Search Name</t>
  </si>
  <si>
    <t>Item name</t>
  </si>
  <si>
    <t>Item group</t>
  </si>
  <si>
    <t>Barcodes</t>
  </si>
  <si>
    <t>CAMNIACCPLII95</t>
  </si>
  <si>
    <t>CAMNIACENEL20A</t>
  </si>
  <si>
    <t>CAMNIACENEL25</t>
  </si>
  <si>
    <t>CAMNIACEP5B</t>
  </si>
  <si>
    <t>CAMNIACGREY</t>
  </si>
  <si>
    <t>CAMNIACHB85</t>
  </si>
  <si>
    <t>CAMNIACMLL7</t>
  </si>
  <si>
    <t>CAMNIACNC95</t>
  </si>
  <si>
    <t>CAMNIACSC28</t>
  </si>
  <si>
    <t>CAMNIACSC29</t>
  </si>
  <si>
    <t>CAMNIACSG31R</t>
  </si>
  <si>
    <t>CAMNIACSJ2</t>
  </si>
  <si>
    <t>CAMNIACSJ4</t>
  </si>
  <si>
    <t>CAMNIACSS700</t>
  </si>
  <si>
    <t>CAMNIACSSSD9</t>
  </si>
  <si>
    <t>CAMNIACSSSU800</t>
  </si>
  <si>
    <t>CAMNIACSW12</t>
  </si>
  <si>
    <t>CAMNIACSW15H</t>
  </si>
  <si>
    <t>CAMNIACSY167</t>
  </si>
  <si>
    <t>CAMNIACSZ1</t>
  </si>
  <si>
    <t>CAMNIACSZ3</t>
  </si>
  <si>
    <t>CAMNIACUCE21</t>
  </si>
  <si>
    <t>CAMNICPP950</t>
  </si>
  <si>
    <t>LENNITC20EIII</t>
  </si>
  <si>
    <t>LENNIZ14-30F4</t>
  </si>
  <si>
    <t>LENNIZ16-50</t>
  </si>
  <si>
    <t>LENNIZ20F1.8</t>
  </si>
  <si>
    <t>LENNIZ24-200</t>
  </si>
  <si>
    <t>LENNIZ24-70F2.8</t>
  </si>
  <si>
    <t>LENNIZ24-70F4</t>
  </si>
  <si>
    <t>LENNIZ24F1.8</t>
  </si>
  <si>
    <t>LENNIZ35F1.8</t>
  </si>
  <si>
    <t>LENNIZ50-250</t>
  </si>
  <si>
    <t>LENNIZ50F1.8</t>
  </si>
  <si>
    <t>LENNIZ58F0.95</t>
  </si>
  <si>
    <t>LENNIZ70-200F2.8</t>
  </si>
  <si>
    <t>LENNIZ85F1.8</t>
  </si>
  <si>
    <t>BF-N1 Body Cap (Z-Series)</t>
  </si>
  <si>
    <t>FTA08001</t>
  </si>
  <si>
    <t xml:space="preserve">52MM FILTER C-PL II             </t>
  </si>
  <si>
    <t>FTA70301</t>
  </si>
  <si>
    <t xml:space="preserve">58MM C-PL II FILTER                     </t>
  </si>
  <si>
    <t>FTA11501</t>
  </si>
  <si>
    <t xml:space="preserve">62MM C-PL II FILTER                  </t>
  </si>
  <si>
    <t>FTA13201</t>
  </si>
  <si>
    <t xml:space="preserve">67MM FILTER C-PL II             </t>
  </si>
  <si>
    <t>FTA16701</t>
  </si>
  <si>
    <t xml:space="preserve">72MM FILTER C-PL II                     </t>
  </si>
  <si>
    <t>FTA61001</t>
  </si>
  <si>
    <t>77MM FILTER C-PL II</t>
  </si>
  <si>
    <t>FTA70501</t>
  </si>
  <si>
    <t xml:space="preserve">82MM FILTER C-PL II </t>
  </si>
  <si>
    <t xml:space="preserve">95MM FILTER C-PL II             </t>
  </si>
  <si>
    <t>DK-29  RUBBER EYECUP (Z6 &amp; Z7)</t>
  </si>
  <si>
    <t>VFB11603</t>
  </si>
  <si>
    <t>EN-EL20A RECHARGEABLE LI-ION BATTERY</t>
  </si>
  <si>
    <t>VFB12502</t>
  </si>
  <si>
    <t>EN-EL25 RECHARGEABLE LI-ION BATTERY</t>
  </si>
  <si>
    <t>VEB00901</t>
  </si>
  <si>
    <t>EP-5B POWER CONNECTOR - D7000/D7100/D600/D610/D800/E</t>
  </si>
  <si>
    <t>FXA10064</t>
  </si>
  <si>
    <t>GREY CARD</t>
  </si>
  <si>
    <t>Nikon MB-N10 battery pack for the Z6/Z7</t>
  </si>
  <si>
    <t>LF-N1 Rear Lens Cap (Z-Series)</t>
  </si>
  <si>
    <t>VDR00601</t>
  </si>
  <si>
    <t>MC-30A REMOTE CORD - D4/D4S/D800/E</t>
  </si>
  <si>
    <t>VDR00801</t>
  </si>
  <si>
    <t>MC-36A REMOTE CORD - D4/D4S/D800/E</t>
  </si>
  <si>
    <t>MC-DC2 REMOTE CORD - D610/D600/D7100/D7000/D5300/D5200/D3300/D3200/D3100</t>
  </si>
  <si>
    <t>ME-1 STEREO MICROPHONE</t>
  </si>
  <si>
    <t>MH-25A BATTERY CHARGER - EN-EL15 Battery</t>
  </si>
  <si>
    <t>VAJ57201</t>
  </si>
  <si>
    <t>ML-L7 REMOTE CONTROL</t>
  </si>
  <si>
    <t>FTA07701</t>
  </si>
  <si>
    <t>52MM FILTER NC NEUTRAL COLOUR</t>
  </si>
  <si>
    <t>FTA70101</t>
  </si>
  <si>
    <t>58MM FILTER NC NEUTRAL COLOUR</t>
  </si>
  <si>
    <t>FTA11401</t>
  </si>
  <si>
    <t>62MM FILTER NC NEUTRAL COLOUR</t>
  </si>
  <si>
    <t>FTA13101</t>
  </si>
  <si>
    <t>67MM FILTER NC NEUTRAL COLOUR</t>
  </si>
  <si>
    <t>FTA16601</t>
  </si>
  <si>
    <t>72MM FILTER NC NEUTRAL COLOUR</t>
  </si>
  <si>
    <t>FTA60801</t>
  </si>
  <si>
    <t>77MM FILTER NC NEUTRAL COLOUR</t>
  </si>
  <si>
    <t>FTA70401</t>
  </si>
  <si>
    <t xml:space="preserve">82MM FILTER NC NEUTRAL COLOUR </t>
  </si>
  <si>
    <t>FTA70601</t>
  </si>
  <si>
    <t>CLOSE-UP SPEEDLIGHT REMOTE KIT R1 (Included 2 x SB-R200)</t>
  </si>
  <si>
    <t>CLOSE-UP SPEEDLIGHT COMMANDER KIT R1C1 (Includes 2X SB-R200 + SU-800)</t>
  </si>
  <si>
    <t>SB-500 SPEEDLIGHT UNIT (GUIDE NR= 24/ 24MM COVERAGE)</t>
  </si>
  <si>
    <t>SB-5000 SPEEDLIGHT UNIT (GUIDE NR= 34.5/ 24-200MM COVERAGE)</t>
  </si>
  <si>
    <t>SB-700 SPEEDLIGHT UNIT (GUIDE NR= 28/ 24-120MM COVERAGE)</t>
  </si>
  <si>
    <t>SB-R200 WIRELESS REMOTE SPEEDLIGHT</t>
  </si>
  <si>
    <t>FSG02601</t>
  </si>
  <si>
    <t>SC-28 TTL SENSOR REMOTE CORD</t>
  </si>
  <si>
    <t>FSG02701</t>
  </si>
  <si>
    <t>SC-29 TTL SENSOR REMOTE CORD ( WITH AF ASSIST)</t>
  </si>
  <si>
    <t>FXA10358</t>
  </si>
  <si>
    <t xml:space="preserve">SG-31R IR PANEL FOR BUILT -IN FLASH </t>
  </si>
  <si>
    <t>FSW54001</t>
  </si>
  <si>
    <t>SJ-2 COLOR FILTER SET (SB-R200/R1/R1C1)</t>
  </si>
  <si>
    <t>FSW54801</t>
  </si>
  <si>
    <t>SJ-4 COLOR FILTER SET (SB-700)</t>
  </si>
  <si>
    <t>FXA10375</t>
  </si>
  <si>
    <t>SOFT CASE SS-700 ( SB-700)</t>
  </si>
  <si>
    <t>FSW54701</t>
  </si>
  <si>
    <t>SOFT CASE SS-SD9 POWER PACK</t>
  </si>
  <si>
    <t>FXA10360</t>
  </si>
  <si>
    <t>SOFT CASE SS-SU800</t>
  </si>
  <si>
    <t xml:space="preserve">SU-800 WIRELESS SPEEDLIGHT COMMANDER </t>
  </si>
  <si>
    <t>FXA10364</t>
  </si>
  <si>
    <t>SW-12 DIFFUSER (SB600/SB-R200/R1/R1C1)</t>
  </si>
  <si>
    <t>SW-15H DIFFUSION DOME (SB-5000)</t>
  </si>
  <si>
    <t>FXA10368</t>
  </si>
  <si>
    <t>ADAPTER RING SY-1-67</t>
  </si>
  <si>
    <t>FXA10357</t>
  </si>
  <si>
    <t>SZ-1 COLOR FILTER HOLDER (SB-R200/R1/R1C1)</t>
  </si>
  <si>
    <t>FXA10380</t>
  </si>
  <si>
    <t>SZ-3 COLOR FILTER HOLDER (SB-700)</t>
  </si>
  <si>
    <t>VDU01301</t>
  </si>
  <si>
    <t>UC-E21 USB CABLE (P900/AW130/120/S9900/9700/9600/P610/600)</t>
  </si>
  <si>
    <t>WR-A10 ADAPTER- Required for D4/D4S/D3/D3X/D2XS/D700/D300/D200 to use WR-R10 &amp; WR-T10</t>
  </si>
  <si>
    <t xml:space="preserve">WR-T10 WIRELESS REMOTE TRANSMITTER </t>
  </si>
  <si>
    <t>VQA100MA</t>
  </si>
  <si>
    <t>COOLPIX P950 BLACK</t>
  </si>
  <si>
    <t>JAA832DA</t>
  </si>
  <si>
    <t>Nikon NIKKOR Z 14-30mm f/4 S Lens</t>
  </si>
  <si>
    <t>JMA706DA</t>
  </si>
  <si>
    <t>Nikon NIKKOR Z 16-50MM f3.5-6.3 VR DX  Lens</t>
  </si>
  <si>
    <t>JMA104DA</t>
  </si>
  <si>
    <t>JMA710DA</t>
  </si>
  <si>
    <t>JMA708DA</t>
  </si>
  <si>
    <t>Nikon NIKKOR Z 24-70mm f/2.8 S Lens</t>
  </si>
  <si>
    <t>Nikon NIKKOR Z 24mm f/1.8 S Lens</t>
  </si>
  <si>
    <t>JMA707DA</t>
  </si>
  <si>
    <t>Nikon NIKKOR Z 50-250MM F4.5-6.3 VR DX  Lens</t>
  </si>
  <si>
    <t>JMA002DA</t>
  </si>
  <si>
    <t>Nikon NIKKOR Z 58mm f/0.95 S Noct Lens</t>
  </si>
  <si>
    <t>JMA709DA</t>
  </si>
  <si>
    <t>Nikon NIKKOR Z 70-200mm f/2.8 VR S Lens</t>
  </si>
  <si>
    <t>JMA301DA</t>
  </si>
  <si>
    <t>Nikon NIKKOR Z 85mm f/1.8 S Lens</t>
  </si>
  <si>
    <t>No Barcode</t>
  </si>
  <si>
    <t>Wide Angle -Fixed</t>
  </si>
  <si>
    <t>Wide Angle -Zoom</t>
  </si>
  <si>
    <t>Standard - Fixed</t>
  </si>
  <si>
    <t>Standard - Zoom</t>
  </si>
  <si>
    <t>Telephoto - Fixed</t>
  </si>
  <si>
    <t>Telephoto - Zoom</t>
  </si>
  <si>
    <t>CAMNIACHB86</t>
  </si>
  <si>
    <t>CAMNIACHB92</t>
  </si>
  <si>
    <t>HB-92 LENS HOOD</t>
  </si>
  <si>
    <t>HB-93 LENS HOOD</t>
  </si>
  <si>
    <t>CAMNIACHB87</t>
  </si>
  <si>
    <t>HB-87 LENS HOOD</t>
  </si>
  <si>
    <t>HB-86 LENS HOOD</t>
  </si>
  <si>
    <t>CAMNIACHN40</t>
  </si>
  <si>
    <t xml:space="preserve">HN-40 LENS HOOD </t>
  </si>
  <si>
    <t>HB-91 LENS HOOD</t>
  </si>
  <si>
    <t xml:space="preserve">HN-38 LENS HOOD </t>
  </si>
  <si>
    <t>CAMNIACHB90</t>
  </si>
  <si>
    <t>HB-90 LENS HOOD</t>
  </si>
  <si>
    <t>HB-89 LENS HOOD</t>
  </si>
  <si>
    <t>HB-88 LENS HOOD</t>
  </si>
  <si>
    <t>HB-95 LENS HOOD</t>
  </si>
  <si>
    <t>HB-85 LENS HOOD</t>
  </si>
  <si>
    <t>Z 70-200mm f/2.8 VR S Lens</t>
  </si>
  <si>
    <t>Z 50-250MM F4.5-6.3 VR DX  Lens</t>
  </si>
  <si>
    <t>Z 24-70mm f/2.8 S Lens</t>
  </si>
  <si>
    <t>Z 14-30mm f/4 S Lens</t>
  </si>
  <si>
    <t>Z 85mm f/1.8 S Lens</t>
  </si>
  <si>
    <t>Z 58mm f/0.95 S Noct Lens</t>
  </si>
  <si>
    <t>Z 24mm f/1.8 S Lens</t>
  </si>
  <si>
    <t>P950 Accessories</t>
  </si>
  <si>
    <t>VOW00201</t>
  </si>
  <si>
    <t>FSA043AG</t>
  </si>
  <si>
    <t>FSW90501</t>
  </si>
  <si>
    <t>JMA705DA</t>
  </si>
  <si>
    <t>JMA704DA</t>
  </si>
  <si>
    <t>JMA103DA</t>
  </si>
  <si>
    <t>JMA102DA</t>
  </si>
  <si>
    <t>JMA001DA</t>
  </si>
  <si>
    <t>018208200863</t>
  </si>
  <si>
    <t>CAMNIACEH6C</t>
  </si>
  <si>
    <t>USB Cable UC-E24</t>
  </si>
  <si>
    <t>VDU10701</t>
  </si>
  <si>
    <t>VDU10801</t>
  </si>
  <si>
    <t>USB Cable UC-E25</t>
  </si>
  <si>
    <t>CAMNIACUCE24</t>
  </si>
  <si>
    <t>CAMNIACUCE25</t>
  </si>
  <si>
    <t>AC Adapter EH-5d</t>
  </si>
  <si>
    <t>CAMNIACEH5D</t>
  </si>
  <si>
    <t>VEB029BA</t>
  </si>
  <si>
    <t>Charging AC Adapter EH-7P</t>
  </si>
  <si>
    <t>FTA70701</t>
  </si>
  <si>
    <t>VOD00101</t>
  </si>
  <si>
    <t>VOW00301</t>
  </si>
  <si>
    <t>018208042425</t>
  </si>
  <si>
    <t>JMD00101</t>
  </si>
  <si>
    <t>018208041824</t>
  </si>
  <si>
    <t>018208200801</t>
  </si>
  <si>
    <t>JMB00601</t>
  </si>
  <si>
    <t>JMB00301</t>
  </si>
  <si>
    <t>018208041817</t>
  </si>
  <si>
    <t>JMB00701</t>
  </si>
  <si>
    <t>018208042067</t>
  </si>
  <si>
    <t>JMB01101</t>
  </si>
  <si>
    <t>018208042258</t>
  </si>
  <si>
    <t>JMB00201</t>
  </si>
  <si>
    <t>018208041848</t>
  </si>
  <si>
    <t>018208200849</t>
  </si>
  <si>
    <t>018208200856</t>
  </si>
  <si>
    <t>SB-5000 Accessories</t>
  </si>
  <si>
    <t>SB-700 Accessories</t>
  </si>
  <si>
    <t>SB-500 Accessories</t>
  </si>
  <si>
    <t>FXA10362</t>
  </si>
  <si>
    <t>FLEXIBLE ARM CLIP SW-C1</t>
  </si>
  <si>
    <t>CAMNIACSWC1</t>
  </si>
  <si>
    <t>SB-R200 Wireless Speedlight</t>
  </si>
  <si>
    <t>SU-800 Wireless Speedlight Commander</t>
  </si>
  <si>
    <t>Product List</t>
  </si>
  <si>
    <t>Z 20mm F1.8 Z S Lens</t>
  </si>
  <si>
    <t>Z 35MM F1.8 Z S LENS</t>
  </si>
  <si>
    <t>Z 50MM F1.8 Z S LENS</t>
  </si>
  <si>
    <t>Z 24-70MM F4 Z S LENS</t>
  </si>
  <si>
    <t>Z 24-200mm F4-6.3 VR Z Lens</t>
  </si>
  <si>
    <t>018208022335</t>
  </si>
  <si>
    <t>018208022366</t>
  </si>
  <si>
    <t>018208022526</t>
  </si>
  <si>
    <t>018208022557</t>
  </si>
  <si>
    <t>018208022571</t>
  </si>
  <si>
    <t>018208022601</t>
  </si>
  <si>
    <t>018208022885</t>
  </si>
  <si>
    <t>018208024797</t>
  </si>
  <si>
    <t>018208024803</t>
  </si>
  <si>
    <t>018208024810</t>
  </si>
  <si>
    <t>018208024827</t>
  </si>
  <si>
    <t>018208024834</t>
  </si>
  <si>
    <t>018208024971</t>
  </si>
  <si>
    <t>018208024988</t>
  </si>
  <si>
    <t>018208025084</t>
  </si>
  <si>
    <t>018208025091</t>
  </si>
  <si>
    <t>018208027545</t>
  </si>
  <si>
    <t>018208037674</t>
  </si>
  <si>
    <t>018208042210</t>
  </si>
  <si>
    <t>018208046607</t>
  </si>
  <si>
    <t>018208047659</t>
  </si>
  <si>
    <t>018208047666</t>
  </si>
  <si>
    <t>018208047949</t>
  </si>
  <si>
    <t>018208047994</t>
  </si>
  <si>
    <t>018208048038</t>
  </si>
  <si>
    <t>018208048045</t>
  </si>
  <si>
    <t>018208048052</t>
  </si>
  <si>
    <t>018208048083</t>
  </si>
  <si>
    <t>018208048144</t>
  </si>
  <si>
    <t>018208049042</t>
  </si>
  <si>
    <t>018208049059</t>
  </si>
  <si>
    <t>018208049073</t>
  </si>
  <si>
    <t>018208049080</t>
  </si>
  <si>
    <t>018208049134</t>
  </si>
  <si>
    <t>018208049547</t>
  </si>
  <si>
    <t>018208049646</t>
  </si>
  <si>
    <t>018208049677</t>
  </si>
  <si>
    <t>018208049745</t>
  </si>
  <si>
    <t>018208200672</t>
  </si>
  <si>
    <t>018208200702</t>
  </si>
  <si>
    <t>018208200726</t>
  </si>
  <si>
    <t>018208200818</t>
  </si>
  <si>
    <t>018208200832</t>
  </si>
  <si>
    <t>018208200894</t>
  </si>
  <si>
    <t>018208200900</t>
  </si>
  <si>
    <t>018208200924</t>
  </si>
  <si>
    <t>018208200931</t>
  </si>
  <si>
    <t>018208253951</t>
  </si>
  <si>
    <t>018208258857</t>
  </si>
  <si>
    <t>018208259526</t>
  </si>
  <si>
    <t>018208270149</t>
  </si>
  <si>
    <t>018208270187</t>
  </si>
  <si>
    <t>018208270323</t>
  </si>
  <si>
    <t>018208270453</t>
  </si>
  <si>
    <t>018208271030</t>
  </si>
  <si>
    <t>018208272044</t>
  </si>
  <si>
    <t>018208933525</t>
  </si>
  <si>
    <t>018208941704</t>
  </si>
  <si>
    <t>018208950157</t>
  </si>
  <si>
    <t>CAMNIILCZ5</t>
  </si>
  <si>
    <t>CAMNIACENEL15C</t>
  </si>
  <si>
    <t>Nikon Z5 Mirrorless Digital Camera (Body Only)</t>
  </si>
  <si>
    <t>Z 24-50mm f/4-6.3 Lens</t>
  </si>
  <si>
    <t>LENNIZTC14</t>
  </si>
  <si>
    <t>LENNIZTC20</t>
  </si>
  <si>
    <t>LENNIZ24-50</t>
  </si>
  <si>
    <t>Z 2.0x Tele Converter</t>
  </si>
  <si>
    <t>Z 1.4x Tele Converter</t>
  </si>
  <si>
    <t>Nikon NIKKOR Z 20mm F1.8 Z S Lens</t>
  </si>
  <si>
    <t>Nikon NIKKOR Z 24-200mm F4-6.3 VR Z Lens</t>
  </si>
  <si>
    <t>Nikon NIKKOR Z 24-70MM F4 Z S LENS</t>
  </si>
  <si>
    <t>Nikon NIKKOR Z 50MM F1.8 Z S LENS</t>
  </si>
  <si>
    <t>Nikon NIKKOR Z 35MM F1.8 Z S LENS</t>
  </si>
  <si>
    <t>Nikon NIKKOR Z 1.4x Tele Converter</t>
  </si>
  <si>
    <t>Nikon NIKKOR Z 2.0x Tele Converter</t>
  </si>
  <si>
    <t>JMA712DA</t>
  </si>
  <si>
    <t>JMA903DA</t>
  </si>
  <si>
    <t>JMA904DA</t>
  </si>
  <si>
    <t>018208200986</t>
  </si>
  <si>
    <t>018208200993</t>
  </si>
  <si>
    <t>018208200962</t>
  </si>
  <si>
    <t>VOA040AM</t>
  </si>
  <si>
    <t>CAMNIACBFN2</t>
  </si>
  <si>
    <t>JMD01201</t>
  </si>
  <si>
    <t>BF-N2 Teleconverter Cap (Z-Series)</t>
  </si>
  <si>
    <t>018208042500</t>
  </si>
  <si>
    <t>HB-98 LENS HOOD</t>
  </si>
  <si>
    <t>EN-EL15C RECHARGEABLE LI-ION BATTERY</t>
  </si>
  <si>
    <t>VFB12802</t>
  </si>
  <si>
    <t>Z 14-24mm f2.8 S Lens</t>
  </si>
  <si>
    <t>Z 50MM F1.2 Z S LENS</t>
  </si>
  <si>
    <t>Nikon NIKKOR Z 14-24mm f/2.8 S Lens</t>
  </si>
  <si>
    <t>LENNIZ50F1.2</t>
  </si>
  <si>
    <t>Nikon NIKKOR Z 50MM F1.2 Z S LENS</t>
  </si>
  <si>
    <t>HB-94 LENS HOOD</t>
  </si>
  <si>
    <t>HB-96 LENS HOOD</t>
  </si>
  <si>
    <t>JMA711DA</t>
  </si>
  <si>
    <t>JMA003DA</t>
  </si>
  <si>
    <t>018208200955</t>
  </si>
  <si>
    <t>018208200979</t>
  </si>
  <si>
    <t>LENNIZ14-24F2.8</t>
  </si>
  <si>
    <t>10-20MM F/4.5-5.6G VR AF-P DX LENS</t>
  </si>
  <si>
    <t>JMB01301</t>
  </si>
  <si>
    <t>018208042296</t>
  </si>
  <si>
    <t>018208200917</t>
  </si>
  <si>
    <t>CAMNIILCZ7II</t>
  </si>
  <si>
    <t>CAMNIILCZ6II</t>
  </si>
  <si>
    <t>Nikon Z6 II Mirrorless Digital Camera Body</t>
  </si>
  <si>
    <t>Nikon Z7 II Mirrorless Digital Camera Body</t>
  </si>
  <si>
    <t>Nikon MB-N11 battery pack for the Z6 II/Z7 II</t>
  </si>
  <si>
    <t>018208272150</t>
  </si>
  <si>
    <t>4960759904300</t>
  </si>
  <si>
    <t>018208049066</t>
  </si>
  <si>
    <t>4960759905949</t>
  </si>
  <si>
    <t>4960759905734</t>
  </si>
  <si>
    <t>LENNIZ105F2.8</t>
  </si>
  <si>
    <t>Nikon NIKKOR Z MC 105mm f/2.8 VR S Macro Lens</t>
  </si>
  <si>
    <t>LENNIZ50F2.8</t>
  </si>
  <si>
    <t>Nikon NIKKOR Z MC 50mm f/2.8 Macro Lens</t>
  </si>
  <si>
    <t>018208201006</t>
  </si>
  <si>
    <t>018208201037</t>
  </si>
  <si>
    <t>JMA602DA</t>
  </si>
  <si>
    <t>JMA603DA</t>
  </si>
  <si>
    <t>Z MC 50mm f/2.8 Macro Lens</t>
  </si>
  <si>
    <t>Z MC 105mm f/2.8 VR S Macro Lens</t>
  </si>
  <si>
    <t>HB-99 LENS HOOD</t>
  </si>
  <si>
    <t>DIGIACCESS</t>
  </si>
  <si>
    <t>LENSES</t>
  </si>
  <si>
    <t>CAMNIACILCBFN1</t>
  </si>
  <si>
    <t>018208958269</t>
  </si>
  <si>
    <t>Pricelist status</t>
  </si>
  <si>
    <t>ILCNIKLENS</t>
  </si>
  <si>
    <t>ILCNIKCAM</t>
  </si>
  <si>
    <t>ILCNIKACC</t>
  </si>
  <si>
    <t>COOLPIX BRIDGE</t>
  </si>
  <si>
    <t>System Status</t>
  </si>
  <si>
    <t>ACTIVE</t>
  </si>
  <si>
    <t>DISCO</t>
  </si>
  <si>
    <t>REDUN</t>
  </si>
  <si>
    <t>Pricelist Status</t>
  </si>
  <si>
    <t>DK-32 Rubber Eyecup</t>
  </si>
  <si>
    <t>Z 28mm f/2.8 SE Lens</t>
  </si>
  <si>
    <t>JMA107DA</t>
  </si>
  <si>
    <t>Nikon NIKKOR Z 28mm f/2.8 SE Lens</t>
  </si>
  <si>
    <t>018208201105</t>
  </si>
  <si>
    <t>LENNIZ16-50SL</t>
  </si>
  <si>
    <t>JMA715DA</t>
  </si>
  <si>
    <t>Nikon NIKKOR Z 16-50MM f3.5-6.3 VR DX  Lens (Silver)</t>
  </si>
  <si>
    <t>018208201099</t>
  </si>
  <si>
    <t>LENNIZ28F2.8SE</t>
  </si>
  <si>
    <t>CAMNIILCZFC</t>
  </si>
  <si>
    <t>CAMNIILCZFCK002</t>
  </si>
  <si>
    <t>Nikon Z fc Mirrorless Digital Camera BODY</t>
  </si>
  <si>
    <t>Nikon Z fc Mirrorless Digital Camera  / 16-50MM SILVER</t>
  </si>
  <si>
    <t>4960759906373</t>
  </si>
  <si>
    <t>6009658262482</t>
  </si>
  <si>
    <t>CAMNIACNC46</t>
  </si>
  <si>
    <t>46MM FILTER NC NEUTRAL COLOUR</t>
  </si>
  <si>
    <t>Z 40MM F2 Z LENS</t>
  </si>
  <si>
    <t>LENNIZ40F2</t>
  </si>
  <si>
    <t>Nikon NIKKOR Z 40mm f/2 Lens</t>
  </si>
  <si>
    <t>JMA106DA</t>
  </si>
  <si>
    <t>018208201020</t>
  </si>
  <si>
    <t>FTA71001</t>
  </si>
  <si>
    <t>JMD00501</t>
  </si>
  <si>
    <t>Z 18-140mm F3.5-6.3 VR DX Lens</t>
  </si>
  <si>
    <t>LENNIZ18-140</t>
  </si>
  <si>
    <t>Nikon NIKKOR Z 18-140MM F/3.5-6.3 VR DX Lens</t>
  </si>
  <si>
    <t>JMA713DA</t>
  </si>
  <si>
    <t>CAMNIACENEL18D</t>
  </si>
  <si>
    <t>CAMNIACEH6D</t>
  </si>
  <si>
    <t>CAMNIACEP6A</t>
  </si>
  <si>
    <t>CAMNIACMC30A</t>
  </si>
  <si>
    <t>CAMNIACWRR11A</t>
  </si>
  <si>
    <t>CAMNIACILCFTZII</t>
  </si>
  <si>
    <t>LENNIZ24-120F4</t>
  </si>
  <si>
    <t>Z 100-400mm F4.5-5.6 VRS  Z Lens</t>
  </si>
  <si>
    <t>LENNIZ100-400</t>
  </si>
  <si>
    <t>CAMNIACHB102</t>
  </si>
  <si>
    <t>HB-103 LENS HOOD</t>
  </si>
  <si>
    <t>CAMNIACHB101</t>
  </si>
  <si>
    <t>CAMNIILCZ9</t>
  </si>
  <si>
    <t>Nikon Z9 Mirrorless Digital Camera Body</t>
  </si>
  <si>
    <t>FTZ II Mount Adapter</t>
  </si>
  <si>
    <t>Nikon NIKKOR Z 100-400mm F4.5-5.6 VR S Lens</t>
  </si>
  <si>
    <t>MH-33 BATTERY CHARGER - EN-EL18D Battery</t>
  </si>
  <si>
    <t>EP-6A POWER SUPPLY CONNECTOR - Z9</t>
  </si>
  <si>
    <t>AC ADAPTER EH-6D</t>
  </si>
  <si>
    <t>EN-EL18D RECHARGEABLE LI-ION BATTERY</t>
  </si>
  <si>
    <t>WR-R11A WIRELESS REMOTE CONTROLLER</t>
  </si>
  <si>
    <t>JMA714DA</t>
  </si>
  <si>
    <t>JMA716DA</t>
  </si>
  <si>
    <t>Z 24-120mm F4 S Z Lens</t>
  </si>
  <si>
    <t>Nikon NIKKOR Z 24-120mm F4 S Lens</t>
  </si>
  <si>
    <t>DK-33 Rubber Eyecup</t>
  </si>
  <si>
    <t>Z 28-75mm F2.8 VR S Z Lens</t>
  </si>
  <si>
    <t>Nikon NIKKOR Z 28-75mm F2.8 S Lens</t>
  </si>
  <si>
    <t>LENNIZ800F6.3</t>
  </si>
  <si>
    <t>Nikon NIKKOR Z 800mm f/6.3 VR S Lens</t>
  </si>
  <si>
    <t>Z 800mm f/6.3 VR S Lens</t>
  </si>
  <si>
    <t>Z 400mm f/2.8 VR S Lens</t>
  </si>
  <si>
    <t>LENNIZ400F2.8</t>
  </si>
  <si>
    <t>Nikon NIKKOR Z 400mm f/2.8 VR S Lens</t>
  </si>
  <si>
    <t>018208042647</t>
  </si>
  <si>
    <t>CAMNIACNC112</t>
  </si>
  <si>
    <t>CAMNIACCPLII112</t>
  </si>
  <si>
    <t>FTA71101</t>
  </si>
  <si>
    <t>FTA71201</t>
  </si>
  <si>
    <t>112MM NC FILTER</t>
  </si>
  <si>
    <t>112MM CPL 2 FILTER</t>
  </si>
  <si>
    <t>LENNIZ28F2.8</t>
  </si>
  <si>
    <t>Nikon NIKKOR Z 28mm f/2.8 Lens</t>
  </si>
  <si>
    <t>018208201013</t>
  </si>
  <si>
    <t>Z 28mm f/2.8 Lens</t>
  </si>
  <si>
    <t>JMD00201</t>
  </si>
  <si>
    <t>JMD00401</t>
  </si>
  <si>
    <t>JMA502DA</t>
  </si>
  <si>
    <t>018208201082</t>
  </si>
  <si>
    <t>HB-104 LENS HOOD</t>
  </si>
  <si>
    <t>LENNIZ28-75F2.8</t>
  </si>
  <si>
    <t>018208201075</t>
  </si>
  <si>
    <t>CAMNIACILCLFN1</t>
  </si>
  <si>
    <t>CAMNIACILCLC62B</t>
  </si>
  <si>
    <t>CAMNIACILCLC82B</t>
  </si>
  <si>
    <t>CAMNIACILCLC46B</t>
  </si>
  <si>
    <t>CAMNIACILCLC52B</t>
  </si>
  <si>
    <t>CAMNIACILCLC67B</t>
  </si>
  <si>
    <t>CAMNIACILCLC72B</t>
  </si>
  <si>
    <t>CAMNIACILCLC77B</t>
  </si>
  <si>
    <t>JMD01101</t>
  </si>
  <si>
    <t>JMD00801</t>
  </si>
  <si>
    <t>JMD00301</t>
  </si>
  <si>
    <t>JMD00701</t>
  </si>
  <si>
    <t>46mm Z-Series Lens Cap</t>
  </si>
  <si>
    <t>52mm Z-Series Lens Cap</t>
  </si>
  <si>
    <t>62mm Z-Series Lens Cap</t>
  </si>
  <si>
    <t>67mm Z-Series Lens Cap</t>
  </si>
  <si>
    <t>72mm Z-Series Lens Cap</t>
  </si>
  <si>
    <t>77mm Z-Series Lens Cap</t>
  </si>
  <si>
    <t>82mm Z-Series Lens Cap</t>
  </si>
  <si>
    <t>VFB12902</t>
  </si>
  <si>
    <t>JMA905DA</t>
  </si>
  <si>
    <t>VFC00901</t>
  </si>
  <si>
    <t>VOA060AM</t>
  </si>
  <si>
    <t>VOA080AM</t>
  </si>
  <si>
    <t>VOA090AM</t>
  </si>
  <si>
    <t>VOA070AM</t>
  </si>
  <si>
    <t>JMA717DA</t>
  </si>
  <si>
    <t>JMA105DA</t>
  </si>
  <si>
    <t>JMA501DA</t>
  </si>
  <si>
    <t>VFC00801</t>
  </si>
  <si>
    <t>VFD10401</t>
  </si>
  <si>
    <t>VEB036EA</t>
  </si>
  <si>
    <t>VEB03501</t>
  </si>
  <si>
    <t>CAMNIACILCMH33</t>
  </si>
  <si>
    <t>VEA02502</t>
  </si>
  <si>
    <t>VOW00501</t>
  </si>
  <si>
    <t>VBJ005CG</t>
  </si>
  <si>
    <t>018208272242</t>
  </si>
  <si>
    <t>4960759909220</t>
  </si>
  <si>
    <t>4960759909404</t>
  </si>
  <si>
    <t>018208042517</t>
  </si>
  <si>
    <t>018208024940</t>
  </si>
  <si>
    <t>4960759905192</t>
  </si>
  <si>
    <t>018208201112</t>
  </si>
  <si>
    <t>4960759901958</t>
  </si>
  <si>
    <t>4960759900074</t>
  </si>
  <si>
    <t>4960759901002</t>
  </si>
  <si>
    <t>4960759149893</t>
  </si>
  <si>
    <t>4960759149916</t>
  </si>
  <si>
    <t>018208201044</t>
  </si>
  <si>
    <t>018208201051</t>
  </si>
  <si>
    <t>VEB033EA</t>
  </si>
  <si>
    <t>CAMNIACILCDK33</t>
  </si>
  <si>
    <t>CAMNIACILCDK29</t>
  </si>
  <si>
    <t>CAMNIACILCDK32</t>
  </si>
  <si>
    <t>CAMNIACILCDK30</t>
  </si>
  <si>
    <t>CAMNIILCZ30</t>
  </si>
  <si>
    <t>CAMNIILCZ30K001</t>
  </si>
  <si>
    <t>Z 400mm f/4.5 VR S Lens</t>
  </si>
  <si>
    <t>LENNIZ400F4.5</t>
  </si>
  <si>
    <t>CAMNIACILCLC95B</t>
  </si>
  <si>
    <t>CAMNIACHB105</t>
  </si>
  <si>
    <t>95mm Z-Series Lens Cap</t>
  </si>
  <si>
    <t xml:space="preserve">95MM FILTER NC NEUTRAL COLOUR </t>
  </si>
  <si>
    <t>HB-105 LENS HOOD</t>
  </si>
  <si>
    <t>Nikon NIKKOR Z 400mm f/4.5 VR S Lens</t>
  </si>
  <si>
    <t>Nikon Z30 Mirrorless Digital Camera (Body Only)</t>
  </si>
  <si>
    <t>Nikon Z30 Mirrorless Digital Camera +16-50MM f3.5-6.3 VR DX</t>
  </si>
  <si>
    <t>JMA503DA</t>
  </si>
  <si>
    <t>018208201129</t>
  </si>
  <si>
    <t>JMB02901</t>
  </si>
  <si>
    <t>JMD01601</t>
  </si>
  <si>
    <t>VOA110AM</t>
  </si>
  <si>
    <t>6009658263250</t>
  </si>
  <si>
    <t>Z NIKKOR 17-28mm F2.8 Lens</t>
  </si>
  <si>
    <t>LENNIZ17-28F2.8</t>
  </si>
  <si>
    <t>Nikon NIKKOR Z 17-28mm f/2.8 Lens</t>
  </si>
  <si>
    <t>018208201150</t>
  </si>
  <si>
    <t>Z 600mm f/4 TC VR S Lens</t>
  </si>
  <si>
    <t>LENNIZ600F4</t>
  </si>
  <si>
    <t>Balance with Dynamics</t>
  </si>
  <si>
    <t>Nikon NIKKOR Z 600mm f/4 TC VR S Lens</t>
  </si>
  <si>
    <t>JMA504DA</t>
  </si>
  <si>
    <t>4960759911070</t>
  </si>
  <si>
    <t>4960759909183</t>
  </si>
  <si>
    <t>018208042449</t>
  </si>
  <si>
    <t>018208042302</t>
  </si>
  <si>
    <t>018208041954</t>
  </si>
  <si>
    <t>4960759902238</t>
  </si>
  <si>
    <t>018208201136</t>
  </si>
  <si>
    <t>Nikon MC-N10 Remote Grip</t>
  </si>
  <si>
    <t>CAMNIACILMCN10</t>
  </si>
  <si>
    <t>VDR009AA</t>
  </si>
  <si>
    <t>018208042098</t>
  </si>
  <si>
    <t>Z 26mm f/2.8 Lens</t>
  </si>
  <si>
    <t>LENNIZ26F2.8</t>
  </si>
  <si>
    <t>Nikon NIKKOR Z 26mm f/2.8 Lens</t>
  </si>
  <si>
    <t>018208201167</t>
  </si>
  <si>
    <t>JMA108DA</t>
  </si>
  <si>
    <t>LENNIZ85F1.2</t>
  </si>
  <si>
    <t>JMA302DA</t>
  </si>
  <si>
    <t xml:space="preserve">Nikon NIKKOR Z 85mm f/1.2 S Lens </t>
  </si>
  <si>
    <t>018208201143</t>
  </si>
  <si>
    <t>Z 85mm f/1.2 S Lens</t>
  </si>
  <si>
    <t>HB-106 LENS HOOD</t>
  </si>
  <si>
    <t>HB-111 LENS HOOD</t>
  </si>
  <si>
    <t>Nikon NIKKOR Z 24-50mm f4-6.3</t>
  </si>
  <si>
    <t>LENNIZ12-28</t>
  </si>
  <si>
    <t>Nikon NIKKOR Z 12-28MM f3.5-6.3 VR PZ DX  Lens</t>
  </si>
  <si>
    <t xml:space="preserve"> Z 12-28mm f3.5-6.3 VR PZ DX  Lens</t>
  </si>
  <si>
    <t xml:space="preserve"> Z 16-50mm f3.5-6.3 VR DX  Lens</t>
  </si>
  <si>
    <t>Selling Price May'23</t>
  </si>
  <si>
    <t>Eyepieces</t>
  </si>
  <si>
    <t>Lens Adapter</t>
  </si>
  <si>
    <t>Dealer (Excl VAT)</t>
  </si>
  <si>
    <t>Details</t>
  </si>
  <si>
    <t>The Fastest, most powerful Nikon - Ever.</t>
  </si>
  <si>
    <t>Dual CFexpress Type B card slots</t>
  </si>
  <si>
    <t>8K UHD videos</t>
  </si>
  <si>
    <t>CAMNIILCZ8</t>
  </si>
  <si>
    <t>45.7 MP</t>
  </si>
  <si>
    <t>(See Mirrorless Lenses Pricelist Sheets)</t>
  </si>
  <si>
    <t>(See Speedlight Pricelist Sheets)</t>
  </si>
  <si>
    <t>ISO 64–25600, ISO Expandable to 102,400</t>
  </si>
  <si>
    <t>Dual card slots, Cfexpress/XQD &amp; SD</t>
  </si>
  <si>
    <t>ISO 100-51,200, ISO Expandable to 204,800</t>
  </si>
  <si>
    <t>24.5 MP</t>
  </si>
  <si>
    <t>20.9 MP</t>
  </si>
  <si>
    <t xml:space="preserve">100 - 51,200. ISO Expandable to 204,800 </t>
  </si>
  <si>
    <t>4K/30p and 1080/120p video</t>
  </si>
  <si>
    <t>24.3 MP</t>
  </si>
  <si>
    <t>100 to 51200. ISO Expandable to 102,400</t>
  </si>
  <si>
    <t>Speedlight System</t>
  </si>
  <si>
    <t>P950</t>
  </si>
  <si>
    <t>R1 Wireless Close-Up Speedlight</t>
  </si>
  <si>
    <t>R1C1 Wireless Close-Up Speedlight</t>
  </si>
  <si>
    <t>R1C1 Wireless Close-Up Speedlight System Accessories</t>
  </si>
  <si>
    <t>R1 Wireless Close-Up Speedlight Accessories</t>
  </si>
  <si>
    <t>SB-R200 Wireless Speedlight Accessories</t>
  </si>
  <si>
    <t>SU-800 Wireless Speedlight Commander Accessories</t>
  </si>
  <si>
    <t>The ultimate hybrid camera.</t>
  </si>
  <si>
    <t>Intensive details. Extraordinary results.</t>
  </si>
  <si>
    <t>More powerful. More speed. More possibilities</t>
  </si>
  <si>
    <t>Compact yet powerful. Simple yet  sophisticated.</t>
  </si>
  <si>
    <t>Iconic design. Z performance.</t>
  </si>
  <si>
    <t>Insanely small. Amazingly bold.</t>
  </si>
  <si>
    <t>Creator ready.</t>
  </si>
  <si>
    <t>Dealer Jul'23</t>
  </si>
  <si>
    <t>VOA100AM</t>
  </si>
  <si>
    <t>Nikon Z8 Mirrorless Digital Camera Body</t>
  </si>
  <si>
    <t>new</t>
  </si>
  <si>
    <t>LENNIZ24F1.7</t>
  </si>
  <si>
    <t>Nikon NIKKOR Z 24mm f/1.7 DX Lens</t>
  </si>
  <si>
    <t>JMA109DA</t>
  </si>
  <si>
    <t>018208201198</t>
  </si>
  <si>
    <t>LENNIZ40F2SE</t>
  </si>
  <si>
    <t>Nikon NIKKOR Z 40mm f/2 SE Lens</t>
  </si>
  <si>
    <t>018208201211</t>
  </si>
  <si>
    <t>JMA110DA</t>
  </si>
  <si>
    <t>CAMNIACILCMBN10</t>
  </si>
  <si>
    <t>CAMNIACILCMBN11</t>
  </si>
  <si>
    <t>CAMNIACILCMBN12</t>
  </si>
  <si>
    <t>CAMNIACILCEH7P</t>
  </si>
  <si>
    <t>018208272303</t>
  </si>
  <si>
    <t>18208041657</t>
  </si>
  <si>
    <t>4960759903143</t>
  </si>
  <si>
    <t>4960759903976</t>
  </si>
  <si>
    <t>4960759904393</t>
  </si>
  <si>
    <t>4960759909985</t>
  </si>
  <si>
    <t>4960759912596</t>
  </si>
  <si>
    <t>Nikon MB-N12 battery pack for the Z8</t>
  </si>
  <si>
    <t>Z 40MM F2 SE Z LENS</t>
  </si>
  <si>
    <t>HB-112 LENS HOOD</t>
  </si>
  <si>
    <t>HB-107 LENS HOOD</t>
  </si>
  <si>
    <t xml:space="preserve">HN-41 LENS HOOD </t>
  </si>
  <si>
    <t>HB-101 LENS HOOD</t>
  </si>
  <si>
    <t>HB-102 LENS HOOD</t>
  </si>
  <si>
    <t>LENNIZ70-180F2.8</t>
  </si>
  <si>
    <t>Z 70-180mm f/2.8 Lens</t>
  </si>
  <si>
    <t>Nikon NIKKOR Z 70-180mm f/2.8 Lens</t>
  </si>
  <si>
    <t>JMA721DA</t>
  </si>
  <si>
    <t>018208201204</t>
  </si>
  <si>
    <t>LENNIZ180-600</t>
  </si>
  <si>
    <t>Nikon NIKKOR Z 180-600mm f/5.6-6.3 VR Lens</t>
  </si>
  <si>
    <t>JMA720DA</t>
  </si>
  <si>
    <t>018208201174</t>
  </si>
  <si>
    <t>JMA718DA</t>
  </si>
  <si>
    <t>JMA719DA</t>
  </si>
  <si>
    <t>Z 24mm f/1.7 DX Lens</t>
  </si>
  <si>
    <t xml:space="preserve">HN-42 LENS HOOD </t>
  </si>
  <si>
    <t>Z-Series</t>
  </si>
  <si>
    <t>CAMNIACCMLL3</t>
  </si>
  <si>
    <t>CAMNIACEN4</t>
  </si>
  <si>
    <t>CAMNIACENEL11</t>
  </si>
  <si>
    <t>CAMNIACENEL14A</t>
  </si>
  <si>
    <t>CAMNIACENEL21</t>
  </si>
  <si>
    <t>CAMNIACENEL8</t>
  </si>
  <si>
    <t>CAMNIACMBD10</t>
  </si>
  <si>
    <t>CAMNIACMBD11</t>
  </si>
  <si>
    <t>CAMNIACMBD14</t>
  </si>
  <si>
    <t>CAMNIACMBD16</t>
  </si>
  <si>
    <t>CAMNIACNC40.5</t>
  </si>
  <si>
    <t>CAMNIACNX2CV</t>
  </si>
  <si>
    <t>LENNI12-24</t>
  </si>
  <si>
    <t>Miscellaneous</t>
  </si>
  <si>
    <t>VEB028EA</t>
  </si>
  <si>
    <t>018208953028</t>
  </si>
  <si>
    <t>VWD102BW</t>
  </si>
  <si>
    <t>018208270347</t>
  </si>
  <si>
    <t>JAA913DA</t>
  </si>
  <si>
    <t>018208021895</t>
  </si>
  <si>
    <t>CML-L3 CASE FOR ML-L3</t>
  </si>
  <si>
    <t>018208047321</t>
  </si>
  <si>
    <t>EH-6C AC Adapter</t>
  </si>
  <si>
    <t>EN-4 RECHARGEABLE LI-ION BATTERY</t>
  </si>
  <si>
    <t>018208252404</t>
  </si>
  <si>
    <t>EN-EL11 RECHARGEABLE LI-ION BATTERY</t>
  </si>
  <si>
    <t>018208257751</t>
  </si>
  <si>
    <t>VFB11411</t>
  </si>
  <si>
    <t>EN-EL14A RECHARGEABLE LI-ION BATTERY</t>
  </si>
  <si>
    <t>018208271269</t>
  </si>
  <si>
    <t>VFB12303</t>
  </si>
  <si>
    <t>EN-EL18C RECHARGEABLE LI-ION BATTERY</t>
  </si>
  <si>
    <t>018208957880</t>
  </si>
  <si>
    <t>EN-EL21 RECHARGEABLE LI-ION BATTERY</t>
  </si>
  <si>
    <t>018208037247</t>
  </si>
  <si>
    <t>EN-EL8 RECHARGEABLE LI-ION BATTERY</t>
  </si>
  <si>
    <t>018208256884</t>
  </si>
  <si>
    <t>EP-5A Power Connector (for EN-EL14a battery cameras)</t>
  </si>
  <si>
    <t>GP-1A GPS MODULE DSLR</t>
  </si>
  <si>
    <t>VAK16801</t>
  </si>
  <si>
    <t>MB-D10  BATTERY PACK</t>
  </si>
  <si>
    <t>018208253593</t>
  </si>
  <si>
    <t>VFC00101</t>
  </si>
  <si>
    <t>MB-D11  BATTERY PACK FOR D7000</t>
  </si>
  <si>
    <t>018208270132</t>
  </si>
  <si>
    <t>VFC00301</t>
  </si>
  <si>
    <t>MB-D14 BATTERY PACK FOR D600/610</t>
  </si>
  <si>
    <t>018208270651</t>
  </si>
  <si>
    <t>VFC00501</t>
  </si>
  <si>
    <t>MB-D16 BATTERY PACK FOR D750</t>
  </si>
  <si>
    <t>018208271542</t>
  </si>
  <si>
    <t>VEA015EA</t>
  </si>
  <si>
    <t>MH-26aAK BATTERY CHARGER FOR EN-EL18</t>
  </si>
  <si>
    <t>FTA08201</t>
  </si>
  <si>
    <t>40.5 Filter NC Neutral Colour</t>
  </si>
  <si>
    <t>018208036240</t>
  </si>
  <si>
    <t>CAPTURE NX2 COMPLETE VERSION SOFTWARE</t>
  </si>
  <si>
    <t>018208915583</t>
  </si>
  <si>
    <t>JAA784  EOL</t>
  </si>
  <si>
    <t>12-24MM F4G DX  AF-S LENS</t>
  </si>
  <si>
    <t>018208021444</t>
  </si>
  <si>
    <t>TC-20E AF-S III TELECONVERTER</t>
  </si>
  <si>
    <t>SpeedLights</t>
  </si>
  <si>
    <t>Compacts</t>
  </si>
  <si>
    <t>CAMNIAC03012204I</t>
  </si>
  <si>
    <t>Nikon Shoulder Bag Black 0301-2204I - Black NIKON logo</t>
  </si>
  <si>
    <t>KITCOMP</t>
  </si>
  <si>
    <t>Bags</t>
  </si>
  <si>
    <t>30 FPS JPEG</t>
  </si>
  <si>
    <t>20 FPS Raw</t>
  </si>
  <si>
    <t>120 FPS JPEG</t>
  </si>
  <si>
    <t>4K UHD 3,840 x 2,160 / 60 fps</t>
  </si>
  <si>
    <t>3.2 Inch V/H Tilt Touch-LCD</t>
  </si>
  <si>
    <t>8K UHD 7,680 × 4,320 / 30p (progressive)</t>
  </si>
  <si>
    <t>3.2 Inch Tilt Touch-LCD</t>
  </si>
  <si>
    <t>4K UHD 3,840 x 2,160 / 30 fps</t>
  </si>
  <si>
    <t>Dual SD UHS-I/SDHC/SDXC</t>
  </si>
  <si>
    <t>4.5 FPS</t>
  </si>
  <si>
    <t>3.2 Inch Vari-angle TFT</t>
  </si>
  <si>
    <t>CAMNIACILCBL7</t>
  </si>
  <si>
    <t>018208272235</t>
  </si>
  <si>
    <t>BL-7-BATTERY CHAMBER COVER</t>
  </si>
  <si>
    <t>Dealer Aug'23</t>
  </si>
  <si>
    <t>Z 180-600mm f/5.6-6.3 VR Lens</t>
  </si>
  <si>
    <t>CAMNIILCZ6IIK001</t>
  </si>
  <si>
    <t>CAMNIILCZ5K001</t>
  </si>
  <si>
    <t>Nikon Z5 Mirrorless Digital Camera+Z 24-50mm f3.5-6.3 Lens</t>
  </si>
  <si>
    <t xml:space="preserve">Nikon Z6 II Mirrorless Digital Camera+NIKKOR Z 24-70mm f/4 S Lens </t>
  </si>
  <si>
    <t>Dealer Sep'23</t>
  </si>
  <si>
    <t>CAMNIILCZ7IIK001</t>
  </si>
  <si>
    <t xml:space="preserve">Nikon Z7 II Mirrorless Digital Camera+NIKKOR Z 24-70mm f/4 S Lens </t>
  </si>
  <si>
    <t>6009658262246</t>
  </si>
  <si>
    <t>CAMNIILCZF</t>
  </si>
  <si>
    <t>CAMNIILCZFK001</t>
  </si>
  <si>
    <t>Nikon Z f Mirrorless Digital Camera (Body Only)</t>
  </si>
  <si>
    <t>Nikon Z f Mirrorless Digital Camera (Body) + SmallRig L-Shape Grip 4262</t>
  </si>
  <si>
    <t>Dealer Oct'23</t>
  </si>
  <si>
    <t>4960759913807</t>
  </si>
  <si>
    <t>Inspired full-frame performance</t>
  </si>
  <si>
    <t>30 FPS</t>
  </si>
  <si>
    <t>SD UHS-I/II/ SDHC &amp; MicroSDHC/SDXC</t>
  </si>
  <si>
    <t>JMA303DA</t>
  </si>
  <si>
    <t>Nikon NIKKOR Z 135mm f/1.8 S Plena Lens</t>
  </si>
  <si>
    <t>LENNIZ135F1.8</t>
  </si>
  <si>
    <t>Z 135mm f/1.8 S Plena Lens</t>
  </si>
  <si>
    <t>HB-108 LENS HOOD</t>
  </si>
  <si>
    <t>VOA120AM</t>
  </si>
  <si>
    <t>Dealer Nov'23</t>
  </si>
  <si>
    <t>LENNIZ600F6.3</t>
  </si>
  <si>
    <t>Nikon NIKKOR Z 600mm f/6.3 VR S Lens</t>
  </si>
  <si>
    <t>018208201228</t>
  </si>
  <si>
    <t>JMA505DA</t>
  </si>
  <si>
    <t>Z 600mm f/6.3 VR S Lens</t>
  </si>
  <si>
    <t>Dealer Dec'23</t>
  </si>
  <si>
    <t>CAMNIACHB109</t>
  </si>
  <si>
    <t>HB-109 LENS HOOD</t>
  </si>
  <si>
    <t>Dealer Feb'24</t>
  </si>
  <si>
    <t>Dealer Mar'24</t>
  </si>
  <si>
    <t>Dealer Apr'24</t>
  </si>
  <si>
    <t>Nikon NIKKOR Z 28-400mm F4-8 VR Lens</t>
  </si>
  <si>
    <t>LENNIZ28-400F4-8</t>
  </si>
  <si>
    <t>Z 28-400mm F4-8 VR Lens</t>
  </si>
  <si>
    <t>HB-114 LENS HOOD</t>
  </si>
  <si>
    <t>JMA722DA</t>
  </si>
  <si>
    <t>018208201259</t>
  </si>
  <si>
    <t>Dealer May'24</t>
  </si>
  <si>
    <t>CAMNIACHB23</t>
  </si>
  <si>
    <t>HB-23 LENS HOOD</t>
  </si>
  <si>
    <t>CAMNIACILCANDC24</t>
  </si>
  <si>
    <t>Nikon AN-DC 24 Strap Z-Series</t>
  </si>
  <si>
    <t>018208046928</t>
  </si>
  <si>
    <t>018208272259</t>
  </si>
  <si>
    <t>JMB02301</t>
  </si>
  <si>
    <t>JMB03601</t>
  </si>
  <si>
    <t>Dealer June'24</t>
  </si>
  <si>
    <t>018208042586</t>
  </si>
  <si>
    <t>018208042593</t>
  </si>
  <si>
    <t>018208042807</t>
  </si>
  <si>
    <t>018208042715</t>
  </si>
  <si>
    <t>018208272273</t>
  </si>
  <si>
    <t>4960759912282</t>
  </si>
  <si>
    <t>018208201181</t>
  </si>
  <si>
    <t>018208201235</t>
  </si>
  <si>
    <t>CAMNIILCZ6III</t>
  </si>
  <si>
    <t>Dealer July'24</t>
  </si>
  <si>
    <t>ISO 100-64,000, ISO Expandable to 204,800</t>
  </si>
  <si>
    <t>3.2 Inch Diagonal Touch-LCD</t>
  </si>
  <si>
    <t>LENNIZ35F1.4</t>
  </si>
  <si>
    <t>Z 35MM F1.4 Z LENS</t>
  </si>
  <si>
    <t>HB-115 LENS HOOD</t>
  </si>
  <si>
    <t>Nikon Z6 III Mirrorless Digital Camera Body</t>
  </si>
  <si>
    <t>Nikon NIKKOR Z 35MM F1.4 Z LENS</t>
  </si>
  <si>
    <t>4960759912886</t>
  </si>
  <si>
    <t>JMA112DA</t>
  </si>
  <si>
    <t>Dealer August'24</t>
  </si>
  <si>
    <t>Dealer September'24</t>
  </si>
  <si>
    <t>Dealer October'24</t>
  </si>
  <si>
    <t>LENNIZ50F1.4</t>
  </si>
  <si>
    <t>Z 50MM F1.4 Z S LENS</t>
  </si>
  <si>
    <t>018208201280</t>
  </si>
  <si>
    <t>JMA004DA</t>
  </si>
  <si>
    <t>Nikon NIKKOR Z 50MM F1.4 Z LENS</t>
  </si>
  <si>
    <t>Dealer November'24</t>
  </si>
  <si>
    <t>SD UHS-II/SDHC/SDXC</t>
  </si>
  <si>
    <t>CAMNIILCZ50II</t>
  </si>
  <si>
    <t>CAMNIILCZ50IIK001</t>
  </si>
  <si>
    <t>CAMNIILCZ50IIK002</t>
  </si>
  <si>
    <t>CAMNIILCZ50IIK003</t>
  </si>
  <si>
    <t>CAMNIILCZ50IIK004</t>
  </si>
  <si>
    <t>CAMNIILCZ50IIK005</t>
  </si>
  <si>
    <t>CAMNIACENEL25A</t>
  </si>
  <si>
    <t>Dealer December'24</t>
  </si>
  <si>
    <t xml:space="preserve">100 - 64,000. ISO Expandable to 204,800 </t>
  </si>
  <si>
    <t>CAMNIACENEL18B</t>
  </si>
  <si>
    <t>CAMNIACMBD18</t>
  </si>
  <si>
    <t>CAMNIACMH29</t>
  </si>
  <si>
    <t>CAMNIACUCE6</t>
  </si>
  <si>
    <t>CAMNIACILCMBN14</t>
  </si>
  <si>
    <t>CAMNIACILCMH32</t>
  </si>
  <si>
    <t>CAMNIACMCDC3</t>
  </si>
  <si>
    <t>018208042708</t>
  </si>
  <si>
    <t>018208201266</t>
  </si>
  <si>
    <t>018208271863</t>
  </si>
  <si>
    <t>018208271887</t>
  </si>
  <si>
    <t>018208937769</t>
  </si>
  <si>
    <t>018208256044</t>
  </si>
  <si>
    <t>018208272402</t>
  </si>
  <si>
    <t>4960759916785</t>
  </si>
  <si>
    <t>6009658263847</t>
  </si>
  <si>
    <t>6009658263854</t>
  </si>
  <si>
    <t>6009658263861</t>
  </si>
  <si>
    <t>6009658263878</t>
  </si>
  <si>
    <t>6009658263885</t>
  </si>
  <si>
    <t>Not on Dynamics</t>
  </si>
  <si>
    <t>X</t>
  </si>
  <si>
    <t>EN-EL25A RECHARGEABLE LI-ION BATTERY</t>
  </si>
  <si>
    <t>HB-113 LENS HOOD</t>
  </si>
  <si>
    <t>VDR01001</t>
  </si>
  <si>
    <t>JAB72301</t>
  </si>
  <si>
    <t>VFB12101</t>
  </si>
  <si>
    <t>EN-EL18B RECHARGEABLE LI-ION BATTERY</t>
  </si>
  <si>
    <t>MB-N12</t>
  </si>
  <si>
    <t>VFC01101</t>
  </si>
  <si>
    <t>Nikon MB-N14 Power battery pack for the Z6III</t>
  </si>
  <si>
    <t>VEA024EB</t>
  </si>
  <si>
    <t>MH-32 Battery Charger</t>
  </si>
  <si>
    <t>VFC00701</t>
  </si>
  <si>
    <t>MB-D18 BATTERY PACK FOR D850</t>
  </si>
  <si>
    <t>VEA021EA</t>
  </si>
  <si>
    <t>MH-29 Battery Charger</t>
  </si>
  <si>
    <t>Nikon MC-DC3 Remote Release Cord</t>
  </si>
  <si>
    <t>VAG11701</t>
  </si>
  <si>
    <t>UC-E6 USB CABLE</t>
  </si>
  <si>
    <t>VOA150AM</t>
  </si>
  <si>
    <t>Nikon Z50 II Mirrorless Digital Camera (Body Only)</t>
  </si>
  <si>
    <t>Nikon Z50 II Single Kit: 16-50MM f3.5-6.3 VR DX Lens+Bag  6009658263847</t>
  </si>
  <si>
    <t>Nikon Z50 II Twin Kit: 16-50MM f3.5-6.3 VR DX+50-250MM F4.5-6.3 VR DX Lens+Bag+Card  6009658263854</t>
  </si>
  <si>
    <t>Nikon Z50 II Trip Kti: 16-50MM f3.5-6.3+50-250MM f4.5-6.3+35MM f1.4 Lens+Bag+Card    6009658263861</t>
  </si>
  <si>
    <t>Nikon Z50 II Creator Kit: 16-50MM f3.5-6.3 VR DX Lens+Bag+Card+ML-L7+Tripod+Mic  6009658263878</t>
  </si>
  <si>
    <t>Nikon Z50 II Vlogging Kit: 35mm F1.4 Lens+Bag+Card+ML-L7+Tripod+Mic  6009658263885</t>
  </si>
  <si>
    <t>VOA130AM</t>
  </si>
  <si>
    <t>Pricelist January '25</t>
  </si>
  <si>
    <t>4960759913593</t>
  </si>
  <si>
    <t>Dealer January'25</t>
  </si>
  <si>
    <t>Dealer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</si>
</sst>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_(&quot;R&quot;* #,##0.00_);_(&quot;R&quot;* \(#,##0.00\);_(&quot;R&quot;* &quot;-&quot;??_);_(@_)"/>
    <numFmt numFmtId="165" formatCode="_-[$$-409]* #,##0.00_ ;_-[$$-409]* \-#,##0.00\ ;_-[$$-409]* &quot;-&quot;??_ ;_-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0EB1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/>
    <xf numFmtId="44" fontId="1" fillId="0" borderId="0" applyFont="0" applyFill="0" applyBorder="0" applyAlignment="0" applyProtection="0"/>
  </cellStyleXfs>
  <cellXfs count="9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/>
    </xf>
    <xf numFmtId="0" fontId="6" fillId="0" borderId="0" xfId="0" applyFont="1"/>
    <xf numFmtId="0" fontId="6" fillId="4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3" fillId="4" borderId="0" xfId="0" applyFont="1" applyFill="1" applyAlignment="1">
      <alignment horizontal="left" vertical="top"/>
    </xf>
    <xf numFmtId="0" fontId="6" fillId="4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3" fillId="4" borderId="0" xfId="0" applyFont="1" applyFill="1" applyAlignment="1">
      <alignment vertical="top"/>
    </xf>
    <xf numFmtId="0" fontId="2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6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0" borderId="0" xfId="0" applyFont="1" applyAlignment="1">
      <alignment horizontal="right" vertical="top"/>
    </xf>
    <xf numFmtId="0" fontId="2" fillId="4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4" borderId="0" xfId="0" applyFont="1" applyFill="1" applyAlignment="1">
      <alignment horizontal="left" vertical="top"/>
    </xf>
    <xf numFmtId="0" fontId="9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/>
    <xf numFmtId="164" fontId="3" fillId="0" borderId="0" xfId="1" applyFont="1" applyFill="1" applyAlignment="1">
      <alignment horizontal="center"/>
    </xf>
    <xf numFmtId="164" fontId="7" fillId="2" borderId="0" xfId="1" applyFont="1" applyFill="1" applyAlignment="1">
      <alignment horizontal="center" vertical="top" wrapText="1"/>
    </xf>
    <xf numFmtId="0" fontId="2" fillId="0" borderId="0" xfId="0" applyFont="1"/>
    <xf numFmtId="164" fontId="5" fillId="2" borderId="0" xfId="1" applyFont="1" applyFill="1" applyAlignment="1">
      <alignment horizontal="center" vertical="top" wrapText="1"/>
    </xf>
    <xf numFmtId="44" fontId="3" fillId="0" borderId="0" xfId="0" applyNumberFormat="1" applyFont="1"/>
    <xf numFmtId="1" fontId="6" fillId="4" borderId="0" xfId="0" applyNumberFormat="1" applyFont="1" applyFill="1" applyAlignment="1">
      <alignment horizontal="left" vertical="top"/>
    </xf>
    <xf numFmtId="44" fontId="6" fillId="4" borderId="0" xfId="4" applyFont="1" applyFill="1" applyBorder="1" applyAlignment="1">
      <alignment horizontal="right" vertical="top"/>
    </xf>
    <xf numFmtId="0" fontId="2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vertical="top"/>
    </xf>
    <xf numFmtId="1" fontId="3" fillId="0" borderId="0" xfId="0" applyNumberFormat="1" applyFont="1" applyAlignment="1">
      <alignment horizontal="left" vertical="top"/>
    </xf>
    <xf numFmtId="44" fontId="3" fillId="0" borderId="0" xfId="4" applyFont="1" applyBorder="1" applyAlignment="1">
      <alignment horizontal="right" vertical="top"/>
    </xf>
    <xf numFmtId="0" fontId="2" fillId="5" borderId="0" xfId="0" applyFont="1" applyFill="1" applyAlignment="1">
      <alignment vertical="top"/>
    </xf>
    <xf numFmtId="0" fontId="2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vertical="top"/>
    </xf>
    <xf numFmtId="0" fontId="9" fillId="4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/>
    </xf>
    <xf numFmtId="1" fontId="9" fillId="4" borderId="2" xfId="0" applyNumberFormat="1" applyFont="1" applyFill="1" applyBorder="1" applyAlignment="1">
      <alignment horizontal="left" vertical="top"/>
    </xf>
    <xf numFmtId="1" fontId="3" fillId="0" borderId="0" xfId="0" applyNumberFormat="1" applyFont="1" applyAlignment="1">
      <alignment horizontal="left" vertical="top" wrapText="1"/>
    </xf>
    <xf numFmtId="44" fontId="3" fillId="0" borderId="0" xfId="4" applyFont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vertical="top"/>
    </xf>
    <xf numFmtId="0" fontId="4" fillId="3" borderId="2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1" fontId="3" fillId="4" borderId="0" xfId="0" applyNumberFormat="1" applyFont="1" applyFill="1" applyAlignment="1">
      <alignment horizontal="left" vertical="top"/>
    </xf>
    <xf numFmtId="44" fontId="3" fillId="4" borderId="0" xfId="4" applyFont="1" applyFill="1" applyBorder="1" applyAlignment="1">
      <alignment horizontal="right" vertical="top"/>
    </xf>
    <xf numFmtId="0" fontId="3" fillId="5" borderId="0" xfId="0" applyFont="1" applyFill="1" applyAlignment="1">
      <alignment horizontal="left" vertical="top" wrapText="1"/>
    </xf>
    <xf numFmtId="0" fontId="3" fillId="5" borderId="0" xfId="0" applyFont="1" applyFill="1" applyAlignment="1">
      <alignment vertical="top" wrapText="1"/>
    </xf>
    <xf numFmtId="0" fontId="8" fillId="4" borderId="2" xfId="0" applyFont="1" applyFill="1" applyBorder="1" applyAlignment="1">
      <alignment vertical="top"/>
    </xf>
    <xf numFmtId="44" fontId="9" fillId="4" borderId="1" xfId="4" applyFont="1" applyFill="1" applyBorder="1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4" fillId="5" borderId="0" xfId="0" applyFont="1" applyFill="1" applyAlignment="1">
      <alignment horizontal="left" vertical="top" wrapText="1"/>
    </xf>
    <xf numFmtId="0" fontId="9" fillId="4" borderId="2" xfId="0" applyFont="1" applyFill="1" applyBorder="1" applyAlignment="1">
      <alignment vertical="top" wrapText="1"/>
    </xf>
    <xf numFmtId="1" fontId="4" fillId="3" borderId="2" xfId="0" applyNumberFormat="1" applyFont="1" applyFill="1" applyBorder="1" applyAlignment="1">
      <alignment horizontal="left" vertical="top"/>
    </xf>
    <xf numFmtId="44" fontId="4" fillId="3" borderId="1" xfId="4" applyFont="1" applyFill="1" applyBorder="1" applyAlignment="1">
      <alignment horizontal="right" vertical="top"/>
    </xf>
    <xf numFmtId="1" fontId="6" fillId="0" borderId="0" xfId="0" applyNumberFormat="1" applyFont="1"/>
    <xf numFmtId="0" fontId="2" fillId="3" borderId="2" xfId="0" applyFont="1" applyFill="1" applyBorder="1" applyAlignment="1">
      <alignment horizontal="left" vertical="top"/>
    </xf>
    <xf numFmtId="1" fontId="3" fillId="0" borderId="0" xfId="1" applyNumberFormat="1" applyFont="1" applyAlignment="1">
      <alignment horizontal="center"/>
    </xf>
    <xf numFmtId="1" fontId="5" fillId="2" borderId="0" xfId="1" applyNumberFormat="1" applyFont="1" applyFill="1" applyAlignment="1">
      <alignment horizontal="center" vertical="top" wrapText="1"/>
    </xf>
    <xf numFmtId="0" fontId="6" fillId="6" borderId="0" xfId="0" applyFont="1" applyFill="1"/>
    <xf numFmtId="164" fontId="6" fillId="6" borderId="0" xfId="1" applyFont="1" applyFill="1" applyAlignment="1">
      <alignment horizontal="center"/>
    </xf>
    <xf numFmtId="0" fontId="9" fillId="4" borderId="0" xfId="0" applyFont="1" applyFill="1" applyAlignment="1">
      <alignment vertical="top"/>
    </xf>
    <xf numFmtId="0" fontId="9" fillId="4" borderId="0" xfId="0" applyFont="1" applyFill="1" applyAlignment="1">
      <alignment vertical="top" wrapText="1"/>
    </xf>
    <xf numFmtId="0" fontId="2" fillId="5" borderId="4" xfId="0" applyFont="1" applyFill="1" applyBorder="1" applyAlignment="1">
      <alignment vertical="top" wrapText="1"/>
    </xf>
    <xf numFmtId="164" fontId="3" fillId="7" borderId="0" xfId="1" applyFont="1" applyFill="1" applyAlignment="1">
      <alignment horizontal="center"/>
    </xf>
    <xf numFmtId="164" fontId="3" fillId="8" borderId="0" xfId="1" applyFont="1" applyFill="1" applyAlignment="1">
      <alignment horizontal="center"/>
    </xf>
    <xf numFmtId="164" fontId="6" fillId="8" borderId="0" xfId="1" applyFont="1" applyFill="1" applyAlignment="1">
      <alignment horizontal="center"/>
    </xf>
    <xf numFmtId="1" fontId="6" fillId="6" borderId="0" xfId="1" applyNumberFormat="1" applyFont="1" applyFill="1" applyAlignment="1">
      <alignment horizontal="center"/>
    </xf>
    <xf numFmtId="0" fontId="7" fillId="3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164" fontId="3" fillId="0" borderId="0" xfId="1" applyFont="1" applyFill="1"/>
    <xf numFmtId="0" fontId="3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6" fillId="6" borderId="0" xfId="0" applyFont="1" applyFill="1" applyAlignment="1">
      <alignment horizontal="left"/>
    </xf>
    <xf numFmtId="0" fontId="3" fillId="0" borderId="0" xfId="0" quotePrefix="1" applyFont="1" applyAlignment="1">
      <alignment horizontal="left"/>
    </xf>
    <xf numFmtId="0" fontId="6" fillId="6" borderId="0" xfId="0" quotePrefix="1" applyFont="1" applyFill="1" applyAlignment="1">
      <alignment horizontal="left"/>
    </xf>
    <xf numFmtId="17" fontId="11" fillId="3" borderId="3" xfId="0" applyNumberFormat="1" applyFont="1" applyFill="1" applyBorder="1" applyAlignment="1">
      <alignment horizontal="center" vertical="top"/>
    </xf>
    <xf numFmtId="0" fontId="11" fillId="3" borderId="2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</cellXfs>
  <cellStyles count="5">
    <cellStyle name="Currency" xfId="1" builtinId="4"/>
    <cellStyle name="Currency 2" xfId="4" xr:uid="{B9168157-D3BA-43E2-81FD-8BF4F530C29F}"/>
    <cellStyle name="Normal" xfId="0" builtinId="0"/>
    <cellStyle name="Normal 28" xfId="2" xr:uid="{DE3A37BD-CA6F-47CF-8052-FCA058CB86CA}"/>
    <cellStyle name="Normal 5 3 2" xfId="3" xr:uid="{603EEA9E-DA2A-49AA-84DD-AF456639418D}"/>
  </cellStyles>
  <dxfs count="0"/>
  <tableStyles count="0" defaultTableStyle="TableStyleMedium2" defaultPivotStyle="PivotStyleLight16"/>
  <colors>
    <mruColors>
      <color rgb="FFE9D1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peedlights!D116"/><Relationship Id="rId13" Type="http://schemas.openxmlformats.org/officeDocument/2006/relationships/hyperlink" Target="#'Z Lenses - Converters'!D19"/><Relationship Id="rId18" Type="http://schemas.openxmlformats.org/officeDocument/2006/relationships/hyperlink" Target="#'Z Lenses - Zoom'!D19"/><Relationship Id="rId3" Type="http://schemas.openxmlformats.org/officeDocument/2006/relationships/hyperlink" Target="#Speedlights!D16"/><Relationship Id="rId21" Type="http://schemas.openxmlformats.org/officeDocument/2006/relationships/hyperlink" Target="#Miscellaneous!A1"/><Relationship Id="rId7" Type="http://schemas.openxmlformats.org/officeDocument/2006/relationships/hyperlink" Target="#Speedlights!D87"/><Relationship Id="rId12" Type="http://schemas.openxmlformats.org/officeDocument/2006/relationships/hyperlink" Target="#'Z5'!A1"/><Relationship Id="rId17" Type="http://schemas.openxmlformats.org/officeDocument/2006/relationships/hyperlink" Target="#'Z30'!A1"/><Relationship Id="rId2" Type="http://schemas.openxmlformats.org/officeDocument/2006/relationships/hyperlink" Target="#'Z Lenses - Wide Angle'!D16"/><Relationship Id="rId16" Type="http://schemas.openxmlformats.org/officeDocument/2006/relationships/hyperlink" Target="#'Z7 II'!A1"/><Relationship Id="rId20" Type="http://schemas.openxmlformats.org/officeDocument/2006/relationships/hyperlink" Target="#'Product List'!A1"/><Relationship Id="rId1" Type="http://schemas.openxmlformats.org/officeDocument/2006/relationships/hyperlink" Target="#'Z f'!A1"/><Relationship Id="rId6" Type="http://schemas.openxmlformats.org/officeDocument/2006/relationships/hyperlink" Target="#Speedlights!D72"/><Relationship Id="rId11" Type="http://schemas.openxmlformats.org/officeDocument/2006/relationships/hyperlink" Target="#'Compact Digital Cameras'!D30"/><Relationship Id="rId24" Type="http://schemas.openxmlformats.org/officeDocument/2006/relationships/hyperlink" Target="#'Z50'!A1"/><Relationship Id="rId5" Type="http://schemas.openxmlformats.org/officeDocument/2006/relationships/hyperlink" Target="#Speedlights!D45"/><Relationship Id="rId15" Type="http://schemas.openxmlformats.org/officeDocument/2006/relationships/hyperlink" Target="#'Z6 II'!A1"/><Relationship Id="rId23" Type="http://schemas.openxmlformats.org/officeDocument/2006/relationships/hyperlink" Target="#'Z6 III'!A1"/><Relationship Id="rId10" Type="http://schemas.openxmlformats.org/officeDocument/2006/relationships/hyperlink" Target="#Speedlights!D164"/><Relationship Id="rId19" Type="http://schemas.openxmlformats.org/officeDocument/2006/relationships/image" Target="../media/image1.png"/><Relationship Id="rId4" Type="http://schemas.openxmlformats.org/officeDocument/2006/relationships/hyperlink" Target="#'Z Lenses - Standard'!D19"/><Relationship Id="rId9" Type="http://schemas.openxmlformats.org/officeDocument/2006/relationships/hyperlink" Target="#Speedlights!D144"/><Relationship Id="rId14" Type="http://schemas.openxmlformats.org/officeDocument/2006/relationships/hyperlink" Target="#'Z9'!A1"/><Relationship Id="rId22" Type="http://schemas.openxmlformats.org/officeDocument/2006/relationships/hyperlink" Target="#'Z fc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6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111444</xdr:colOff>
      <xdr:row>27</xdr:row>
      <xdr:rowOff>2355</xdr:rowOff>
    </xdr:from>
    <xdr:to>
      <xdr:col>6</xdr:col>
      <xdr:colOff>1907634</xdr:colOff>
      <xdr:row>29</xdr:row>
      <xdr:rowOff>26178</xdr:rowOff>
    </xdr:to>
    <xdr:sp macro="" textlink="">
      <xdr:nvSpPr>
        <xdr:cNvPr id="19" name="Personnel Info" descr="&quot;&quot;" title="Personnel Info Navigation Button">
          <a:hlinkClick xmlns:r="http://schemas.openxmlformats.org/officeDocument/2006/relationships" r:id="rId1" tooltip="Click to view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453473" y="4839486"/>
          <a:ext cx="1796190" cy="36571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 f</a:t>
          </a:r>
        </a:p>
      </xdr:txBody>
    </xdr:sp>
    <xdr:clientData/>
  </xdr:twoCellAnchor>
  <xdr:twoCellAnchor editAs="absolute">
    <xdr:from>
      <xdr:col>6</xdr:col>
      <xdr:colOff>2055944</xdr:colOff>
      <xdr:row>27</xdr:row>
      <xdr:rowOff>224</xdr:rowOff>
    </xdr:from>
    <xdr:to>
      <xdr:col>8</xdr:col>
      <xdr:colOff>783627</xdr:colOff>
      <xdr:row>29</xdr:row>
      <xdr:rowOff>37382</xdr:rowOff>
    </xdr:to>
    <xdr:sp macro="" textlink="">
      <xdr:nvSpPr>
        <xdr:cNvPr id="20" name="Personnel Info" descr="&quot;&quot;" title="Personnel Info Navigation Button">
          <a:hlinkClick xmlns:r="http://schemas.openxmlformats.org/officeDocument/2006/relationships" r:id="rId2" tooltip="Click to view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397973" y="4837355"/>
          <a:ext cx="1805491" cy="37714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 - Wide Angle</a:t>
          </a:r>
        </a:p>
      </xdr:txBody>
    </xdr:sp>
    <xdr:clientData/>
  </xdr:twoCellAnchor>
  <xdr:twoCellAnchor editAs="absolute">
    <xdr:from>
      <xdr:col>2</xdr:col>
      <xdr:colOff>22523</xdr:colOff>
      <xdr:row>48</xdr:row>
      <xdr:rowOff>121364</xdr:rowOff>
    </xdr:from>
    <xdr:to>
      <xdr:col>5</xdr:col>
      <xdr:colOff>173129</xdr:colOff>
      <xdr:row>51</xdr:row>
      <xdr:rowOff>9484</xdr:rowOff>
    </xdr:to>
    <xdr:sp macro="" textlink="">
      <xdr:nvSpPr>
        <xdr:cNvPr id="21" name="Personnel Info" descr="&quot;&quot;" title="Personnel Info Navigation Button">
          <a:hlinkClick xmlns:r="http://schemas.openxmlformats.org/officeDocument/2006/relationships" r:id="rId3" tooltip="Click to view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93170" y="8492158"/>
          <a:ext cx="1786665" cy="39238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SB-5000</a:t>
          </a:r>
        </a:p>
      </xdr:txBody>
    </xdr:sp>
    <xdr:clientData/>
  </xdr:twoCellAnchor>
  <xdr:twoCellAnchor editAs="absolute">
    <xdr:from>
      <xdr:col>1</xdr:col>
      <xdr:colOff>206583</xdr:colOff>
      <xdr:row>23</xdr:row>
      <xdr:rowOff>17482</xdr:rowOff>
    </xdr:from>
    <xdr:to>
      <xdr:col>5</xdr:col>
      <xdr:colOff>168819</xdr:colOff>
      <xdr:row>26</xdr:row>
      <xdr:rowOff>37977</xdr:rowOff>
    </xdr:to>
    <xdr:sp macro="" textlink="">
      <xdr:nvSpPr>
        <xdr:cNvPr id="30" name="Personnel Info" descr="&quot;&quot;" title="Personnel Info Navigation Button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445717" y="4182260"/>
          <a:ext cx="1833618" cy="52857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Mirrorless - FX</a:t>
          </a:r>
        </a:p>
      </xdr:txBody>
    </xdr:sp>
    <xdr:clientData/>
  </xdr:twoCellAnchor>
  <xdr:twoCellAnchor editAs="absolute">
    <xdr:from>
      <xdr:col>6</xdr:col>
      <xdr:colOff>2073760</xdr:colOff>
      <xdr:row>23</xdr:row>
      <xdr:rowOff>17482</xdr:rowOff>
    </xdr:from>
    <xdr:to>
      <xdr:col>8</xdr:col>
      <xdr:colOff>784298</xdr:colOff>
      <xdr:row>26</xdr:row>
      <xdr:rowOff>37977</xdr:rowOff>
    </xdr:to>
    <xdr:sp macro="" textlink="">
      <xdr:nvSpPr>
        <xdr:cNvPr id="31" name="Personnel Info" descr="&quot;&quot;" title="Personnel Info Navigation Button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4419599" y="4182260"/>
          <a:ext cx="1784536" cy="52857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Mirrorless - Lenses</a:t>
          </a:r>
        </a:p>
      </xdr:txBody>
    </xdr:sp>
    <xdr:clientData/>
  </xdr:twoCellAnchor>
  <xdr:twoCellAnchor editAs="absolute">
    <xdr:from>
      <xdr:col>6</xdr:col>
      <xdr:colOff>93455</xdr:colOff>
      <xdr:row>23</xdr:row>
      <xdr:rowOff>337</xdr:rowOff>
    </xdr:from>
    <xdr:to>
      <xdr:col>6</xdr:col>
      <xdr:colOff>1889645</xdr:colOff>
      <xdr:row>26</xdr:row>
      <xdr:rowOff>37977</xdr:rowOff>
    </xdr:to>
    <xdr:sp macro="" textlink="">
      <xdr:nvSpPr>
        <xdr:cNvPr id="32" name="Personnel Info" descr="&quot;&quot;" title="Personnel Info Navigation Button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439294" y="4165115"/>
          <a:ext cx="1788570" cy="54571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Mirrorless - DX</a:t>
          </a:r>
        </a:p>
      </xdr:txBody>
    </xdr:sp>
    <xdr:clientData/>
  </xdr:twoCellAnchor>
  <xdr:twoCellAnchor editAs="absolute">
    <xdr:from>
      <xdr:col>6</xdr:col>
      <xdr:colOff>2040928</xdr:colOff>
      <xdr:row>29</xdr:row>
      <xdr:rowOff>126851</xdr:rowOff>
    </xdr:from>
    <xdr:to>
      <xdr:col>8</xdr:col>
      <xdr:colOff>780041</xdr:colOff>
      <xdr:row>31</xdr:row>
      <xdr:rowOff>150675</xdr:rowOff>
    </xdr:to>
    <xdr:sp macro="" textlink="">
      <xdr:nvSpPr>
        <xdr:cNvPr id="37" name="Personnel Info" descr="&quot;&quot;" title="Personnel Info Navigation Button">
          <a:hlinkClick xmlns:r="http://schemas.openxmlformats.org/officeDocument/2006/relationships" r:id="rId4" tooltip="Click to view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379147" y="5302064"/>
          <a:ext cx="1828351" cy="36190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 - Standard</a:t>
          </a:r>
        </a:p>
      </xdr:txBody>
    </xdr:sp>
    <xdr:clientData/>
  </xdr:twoCellAnchor>
  <xdr:twoCellAnchor editAs="absolute">
    <xdr:from>
      <xdr:col>2</xdr:col>
      <xdr:colOff>22523</xdr:colOff>
      <xdr:row>45</xdr:row>
      <xdr:rowOff>9419</xdr:rowOff>
    </xdr:from>
    <xdr:to>
      <xdr:col>5</xdr:col>
      <xdr:colOff>173129</xdr:colOff>
      <xdr:row>48</xdr:row>
      <xdr:rowOff>37534</xdr:rowOff>
    </xdr:to>
    <xdr:sp macro="" textlink="">
      <xdr:nvSpPr>
        <xdr:cNvPr id="38" name="Personnel Info" descr="&quot;&quot;" title="Personnel Info Navigation Button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93170" y="7875948"/>
          <a:ext cx="1786665" cy="53238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Speedlights</a:t>
          </a:r>
        </a:p>
      </xdr:txBody>
    </xdr:sp>
    <xdr:clientData/>
  </xdr:twoCellAnchor>
  <xdr:twoCellAnchor editAs="absolute">
    <xdr:from>
      <xdr:col>2</xdr:col>
      <xdr:colOff>18489</xdr:colOff>
      <xdr:row>51</xdr:row>
      <xdr:rowOff>130110</xdr:rowOff>
    </xdr:from>
    <xdr:to>
      <xdr:col>5</xdr:col>
      <xdr:colOff>207195</xdr:colOff>
      <xdr:row>53</xdr:row>
      <xdr:rowOff>125359</xdr:rowOff>
    </xdr:to>
    <xdr:sp macro="" textlink="">
      <xdr:nvSpPr>
        <xdr:cNvPr id="45" name="Personnel Info" descr="&quot;&quot;" title="Personnel Info Navigation Button">
          <a:hlinkClick xmlns:r="http://schemas.openxmlformats.org/officeDocument/2006/relationships" r:id="rId5" tooltip="Click to view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489136" y="9005169"/>
          <a:ext cx="1824765" cy="33142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SB-700</a:t>
          </a:r>
        </a:p>
      </xdr:txBody>
    </xdr:sp>
    <xdr:clientData/>
  </xdr:twoCellAnchor>
  <xdr:twoCellAnchor editAs="absolute">
    <xdr:from>
      <xdr:col>2</xdr:col>
      <xdr:colOff>18489</xdr:colOff>
      <xdr:row>54</xdr:row>
      <xdr:rowOff>77444</xdr:rowOff>
    </xdr:from>
    <xdr:to>
      <xdr:col>5</xdr:col>
      <xdr:colOff>207195</xdr:colOff>
      <xdr:row>56</xdr:row>
      <xdr:rowOff>95553</xdr:rowOff>
    </xdr:to>
    <xdr:sp macro="" textlink="">
      <xdr:nvSpPr>
        <xdr:cNvPr id="46" name="Personnel Info" descr="&quot;&quot;" title="Personnel Info Navigation Button">
          <a:hlinkClick xmlns:r="http://schemas.openxmlformats.org/officeDocument/2006/relationships" r:id="rId6" tooltip="Click to view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89136" y="9456768"/>
          <a:ext cx="1824765" cy="35428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SB-500</a:t>
          </a:r>
        </a:p>
      </xdr:txBody>
    </xdr:sp>
    <xdr:clientData/>
  </xdr:twoCellAnchor>
  <xdr:twoCellAnchor editAs="absolute">
    <xdr:from>
      <xdr:col>2</xdr:col>
      <xdr:colOff>18488</xdr:colOff>
      <xdr:row>57</xdr:row>
      <xdr:rowOff>50213</xdr:rowOff>
    </xdr:from>
    <xdr:to>
      <xdr:col>5</xdr:col>
      <xdr:colOff>207194</xdr:colOff>
      <xdr:row>59</xdr:row>
      <xdr:rowOff>70226</xdr:rowOff>
    </xdr:to>
    <xdr:sp macro="" textlink="">
      <xdr:nvSpPr>
        <xdr:cNvPr id="47" name="Personnel Info" descr="&quot;&quot;" title="Personnel Info Navigation Button">
          <a:hlinkClick xmlns:r="http://schemas.openxmlformats.org/officeDocument/2006/relationships" r:id="rId7" tooltip="Click to view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89135" y="9933801"/>
          <a:ext cx="1824765" cy="35619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R1 System</a:t>
          </a:r>
        </a:p>
      </xdr:txBody>
    </xdr:sp>
    <xdr:clientData/>
  </xdr:twoCellAnchor>
  <xdr:twoCellAnchor editAs="absolute">
    <xdr:from>
      <xdr:col>2</xdr:col>
      <xdr:colOff>16808</xdr:colOff>
      <xdr:row>60</xdr:row>
      <xdr:rowOff>9423</xdr:rowOff>
    </xdr:from>
    <xdr:to>
      <xdr:col>5</xdr:col>
      <xdr:colOff>171224</xdr:colOff>
      <xdr:row>62</xdr:row>
      <xdr:rowOff>50392</xdr:rowOff>
    </xdr:to>
    <xdr:sp macro="" textlink="">
      <xdr:nvSpPr>
        <xdr:cNvPr id="48" name="Personnel Info" descr="&quot;&quot;" title="Personnel Info Navigation Button">
          <a:hlinkClick xmlns:r="http://schemas.openxmlformats.org/officeDocument/2006/relationships" r:id="rId8" tooltip="Click to view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87455" y="10397276"/>
          <a:ext cx="1790475" cy="37714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R1C1 System</a:t>
          </a:r>
        </a:p>
      </xdr:txBody>
    </xdr:sp>
    <xdr:clientData/>
  </xdr:twoCellAnchor>
  <xdr:twoCellAnchor editAs="absolute">
    <xdr:from>
      <xdr:col>2</xdr:col>
      <xdr:colOff>16808</xdr:colOff>
      <xdr:row>62</xdr:row>
      <xdr:rowOff>121259</xdr:rowOff>
    </xdr:from>
    <xdr:to>
      <xdr:col>5</xdr:col>
      <xdr:colOff>171224</xdr:colOff>
      <xdr:row>65</xdr:row>
      <xdr:rowOff>9379</xdr:rowOff>
    </xdr:to>
    <xdr:sp macro="" textlink="">
      <xdr:nvSpPr>
        <xdr:cNvPr id="49" name="Personnel Info" descr="&quot;&quot;" title="Personnel Info Navigation Button">
          <a:hlinkClick xmlns:r="http://schemas.openxmlformats.org/officeDocument/2006/relationships" r:id="rId9" tooltip="Click to view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487455" y="10845288"/>
          <a:ext cx="1790475" cy="39238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SB-R200 System</a:t>
          </a:r>
        </a:p>
      </xdr:txBody>
    </xdr:sp>
    <xdr:clientData/>
  </xdr:twoCellAnchor>
  <xdr:twoCellAnchor editAs="absolute">
    <xdr:from>
      <xdr:col>2</xdr:col>
      <xdr:colOff>20618</xdr:colOff>
      <xdr:row>65</xdr:row>
      <xdr:rowOff>79236</xdr:rowOff>
    </xdr:from>
    <xdr:to>
      <xdr:col>5</xdr:col>
      <xdr:colOff>175034</xdr:colOff>
      <xdr:row>67</xdr:row>
      <xdr:rowOff>131634</xdr:rowOff>
    </xdr:to>
    <xdr:sp macro="" textlink="">
      <xdr:nvSpPr>
        <xdr:cNvPr id="50" name="Personnel Info" descr="&quot;&quot;" title="Personnel Info Navigation Button">
          <a:hlinkClick xmlns:r="http://schemas.openxmlformats.org/officeDocument/2006/relationships" r:id="rId10" tooltip="Click to view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491265" y="11307530"/>
          <a:ext cx="1790475" cy="38857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SU-800 System</a:t>
          </a:r>
        </a:p>
      </xdr:txBody>
    </xdr:sp>
    <xdr:clientData/>
  </xdr:twoCellAnchor>
  <xdr:twoCellAnchor editAs="absolute">
    <xdr:from>
      <xdr:col>6</xdr:col>
      <xdr:colOff>98612</xdr:colOff>
      <xdr:row>45</xdr:row>
      <xdr:rowOff>22412</xdr:rowOff>
    </xdr:from>
    <xdr:to>
      <xdr:col>6</xdr:col>
      <xdr:colOff>1925282</xdr:colOff>
      <xdr:row>48</xdr:row>
      <xdr:rowOff>53445</xdr:rowOff>
    </xdr:to>
    <xdr:sp macro="" textlink="">
      <xdr:nvSpPr>
        <xdr:cNvPr id="52" name="Personnel Info" descr="&quot;&quot;" title="Personnel Info Navigation Butto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440641" y="7888941"/>
          <a:ext cx="1826670" cy="535298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Compact Digital Cameras</a:t>
          </a:r>
        </a:p>
      </xdr:txBody>
    </xdr:sp>
    <xdr:clientData/>
  </xdr:twoCellAnchor>
  <xdr:twoCellAnchor editAs="absolute">
    <xdr:from>
      <xdr:col>6</xdr:col>
      <xdr:colOff>106455</xdr:colOff>
      <xdr:row>48</xdr:row>
      <xdr:rowOff>129978</xdr:rowOff>
    </xdr:from>
    <xdr:to>
      <xdr:col>6</xdr:col>
      <xdr:colOff>1895025</xdr:colOff>
      <xdr:row>51</xdr:row>
      <xdr:rowOff>12383</xdr:rowOff>
    </xdr:to>
    <xdr:sp macro="" textlink="">
      <xdr:nvSpPr>
        <xdr:cNvPr id="87" name="Personnel Info" descr="&quot;&quot;" title="Personnel Info Navigation Button">
          <a:hlinkClick xmlns:r="http://schemas.openxmlformats.org/officeDocument/2006/relationships" r:id="rId11" tooltip="Click to view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2448484" y="8500772"/>
          <a:ext cx="1788570" cy="38667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P950</a:t>
          </a:r>
        </a:p>
      </xdr:txBody>
    </xdr:sp>
    <xdr:clientData/>
  </xdr:twoCellAnchor>
  <xdr:twoCellAnchor editAs="absolute">
    <xdr:from>
      <xdr:col>2</xdr:col>
      <xdr:colOff>20118</xdr:colOff>
      <xdr:row>40</xdr:row>
      <xdr:rowOff>105223</xdr:rowOff>
    </xdr:from>
    <xdr:to>
      <xdr:col>5</xdr:col>
      <xdr:colOff>191231</xdr:colOff>
      <xdr:row>42</xdr:row>
      <xdr:rowOff>94756</xdr:rowOff>
    </xdr:to>
    <xdr:sp macro="" textlink="">
      <xdr:nvSpPr>
        <xdr:cNvPr id="84" name="Personnel Info" descr="&quot;&quot;" title="Personnel Info Navigation Button">
          <a:hlinkClick xmlns:r="http://schemas.openxmlformats.org/officeDocument/2006/relationships" r:id="rId12" tooltip="Click to view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490765" y="7131311"/>
          <a:ext cx="1807172" cy="32571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Z5</a:t>
          </a:r>
        </a:p>
      </xdr:txBody>
    </xdr:sp>
    <xdr:clientData/>
  </xdr:twoCellAnchor>
  <xdr:twoCellAnchor editAs="absolute">
    <xdr:from>
      <xdr:col>6</xdr:col>
      <xdr:colOff>2056452</xdr:colOff>
      <xdr:row>34</xdr:row>
      <xdr:rowOff>146354</xdr:rowOff>
    </xdr:from>
    <xdr:to>
      <xdr:col>8</xdr:col>
      <xdr:colOff>761275</xdr:colOff>
      <xdr:row>36</xdr:row>
      <xdr:rowOff>154938</xdr:rowOff>
    </xdr:to>
    <xdr:sp macro="" textlink="">
      <xdr:nvSpPr>
        <xdr:cNvPr id="85" name="Personnel Info" descr="&quot;&quot;" title="Personnel Info Navigation Button">
          <a:hlinkClick xmlns:r="http://schemas.openxmlformats.org/officeDocument/2006/relationships" r:id="rId13" tooltip="Click to view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4398481" y="6165818"/>
          <a:ext cx="1786441" cy="34285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 - Teleconverters</a:t>
          </a:r>
        </a:p>
      </xdr:txBody>
    </xdr:sp>
    <xdr:clientData/>
  </xdr:twoCellAnchor>
  <xdr:twoCellAnchor editAs="absolute">
    <xdr:from>
      <xdr:col>1</xdr:col>
      <xdr:colOff>207420</xdr:colOff>
      <xdr:row>27</xdr:row>
      <xdr:rowOff>2578</xdr:rowOff>
    </xdr:from>
    <xdr:to>
      <xdr:col>5</xdr:col>
      <xdr:colOff>171561</xdr:colOff>
      <xdr:row>29</xdr:row>
      <xdr:rowOff>1636</xdr:rowOff>
    </xdr:to>
    <xdr:sp macro="" textlink="">
      <xdr:nvSpPr>
        <xdr:cNvPr id="106" name="Personnel Info" descr="&quot;&quot;" title="Personnel Info Navigation Button">
          <a:hlinkClick xmlns:r="http://schemas.openxmlformats.org/officeDocument/2006/relationships" r:id="rId14" tooltip="Click to view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446554" y="4843519"/>
          <a:ext cx="1827903" cy="33142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Z9</a:t>
          </a:r>
        </a:p>
      </xdr:txBody>
    </xdr:sp>
    <xdr:clientData/>
  </xdr:twoCellAnchor>
  <xdr:twoCellAnchor editAs="absolute">
    <xdr:from>
      <xdr:col>2</xdr:col>
      <xdr:colOff>20118</xdr:colOff>
      <xdr:row>37</xdr:row>
      <xdr:rowOff>140862</xdr:rowOff>
    </xdr:from>
    <xdr:to>
      <xdr:col>5</xdr:col>
      <xdr:colOff>191231</xdr:colOff>
      <xdr:row>40</xdr:row>
      <xdr:rowOff>11838</xdr:rowOff>
    </xdr:to>
    <xdr:sp macro="" textlink="">
      <xdr:nvSpPr>
        <xdr:cNvPr id="107" name="Personnel Info" descr="&quot;&quot;" title="Personnel Info Navigation Button">
          <a:hlinkClick xmlns:r="http://schemas.openxmlformats.org/officeDocument/2006/relationships" r:id="rId15" tooltip="Click to view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490765" y="6662686"/>
          <a:ext cx="1807172" cy="37524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Z6 II</a:t>
          </a:r>
        </a:p>
      </xdr:txBody>
    </xdr:sp>
    <xdr:clientData/>
  </xdr:twoCellAnchor>
  <xdr:twoCellAnchor editAs="absolute">
    <xdr:from>
      <xdr:col>2</xdr:col>
      <xdr:colOff>0</xdr:colOff>
      <xdr:row>32</xdr:row>
      <xdr:rowOff>37656</xdr:rowOff>
    </xdr:from>
    <xdr:to>
      <xdr:col>5</xdr:col>
      <xdr:colOff>174923</xdr:colOff>
      <xdr:row>34</xdr:row>
      <xdr:rowOff>76719</xdr:rowOff>
    </xdr:to>
    <xdr:sp macro="" textlink="">
      <xdr:nvSpPr>
        <xdr:cNvPr id="113" name="Personnel Info" descr="&quot;&quot;" title="Personnel Info Navigation Button">
          <a:hlinkClick xmlns:r="http://schemas.openxmlformats.org/officeDocument/2006/relationships" r:id="rId16" tooltip="Click to view"/>
          <a:extLst>
            <a:ext uri="{FF2B5EF4-FFF2-40B4-BE49-F238E27FC236}">
              <a16:creationId xmlns:a16="http://schemas.microsoft.com/office/drawing/2014/main" id="{0D79D85C-7F34-428D-8180-FCD95C4E9863}"/>
            </a:ext>
          </a:extLst>
        </xdr:cNvPr>
        <xdr:cNvSpPr/>
      </xdr:nvSpPr>
      <xdr:spPr>
        <a:xfrm>
          <a:off x="470647" y="5719038"/>
          <a:ext cx="1807172" cy="37524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Z7 II</a:t>
          </a:r>
        </a:p>
      </xdr:txBody>
    </xdr:sp>
    <xdr:clientData/>
  </xdr:twoCellAnchor>
  <xdr:twoCellAnchor editAs="absolute">
    <xdr:from>
      <xdr:col>6</xdr:col>
      <xdr:colOff>112281</xdr:colOff>
      <xdr:row>35</xdr:row>
      <xdr:rowOff>9977</xdr:rowOff>
    </xdr:from>
    <xdr:to>
      <xdr:col>6</xdr:col>
      <xdr:colOff>1904661</xdr:colOff>
      <xdr:row>37</xdr:row>
      <xdr:rowOff>52850</xdr:rowOff>
    </xdr:to>
    <xdr:sp macro="" textlink="">
      <xdr:nvSpPr>
        <xdr:cNvPr id="80" name="Personnel Info" descr="&quot;&quot;" title="Personnel Info Navigation Button">
          <a:hlinkClick xmlns:r="http://schemas.openxmlformats.org/officeDocument/2006/relationships" r:id="rId17" tooltip="Click to view"/>
          <a:extLst>
            <a:ext uri="{FF2B5EF4-FFF2-40B4-BE49-F238E27FC236}">
              <a16:creationId xmlns:a16="http://schemas.microsoft.com/office/drawing/2014/main" id="{740C4327-F3A3-4190-8611-C10B989ADED3}"/>
            </a:ext>
          </a:extLst>
        </xdr:cNvPr>
        <xdr:cNvSpPr/>
      </xdr:nvSpPr>
      <xdr:spPr>
        <a:xfrm>
          <a:off x="2454310" y="6195624"/>
          <a:ext cx="1792380" cy="37905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Z30</a:t>
          </a:r>
        </a:p>
      </xdr:txBody>
    </xdr:sp>
    <xdr:clientData/>
  </xdr:twoCellAnchor>
  <xdr:twoCellAnchor editAs="absolute">
    <xdr:from>
      <xdr:col>6</xdr:col>
      <xdr:colOff>2037118</xdr:colOff>
      <xdr:row>32</xdr:row>
      <xdr:rowOff>67914</xdr:rowOff>
    </xdr:from>
    <xdr:to>
      <xdr:col>8</xdr:col>
      <xdr:colOff>783851</xdr:colOff>
      <xdr:row>34</xdr:row>
      <xdr:rowOff>78402</xdr:rowOff>
    </xdr:to>
    <xdr:sp macro="" textlink="">
      <xdr:nvSpPr>
        <xdr:cNvPr id="2" name="Personnel Info" descr="&quot;&quot;" title="Personnel Info Navigation Button">
          <a:hlinkClick xmlns:r="http://schemas.openxmlformats.org/officeDocument/2006/relationships" r:id="rId18" tooltip="Click to view"/>
          <a:extLst>
            <a:ext uri="{FF2B5EF4-FFF2-40B4-BE49-F238E27FC236}">
              <a16:creationId xmlns:a16="http://schemas.microsoft.com/office/drawing/2014/main" id="{0E04DC94-8FB4-48EC-9D4A-DC32B510A269}"/>
            </a:ext>
          </a:extLst>
        </xdr:cNvPr>
        <xdr:cNvSpPr/>
      </xdr:nvSpPr>
      <xdr:spPr>
        <a:xfrm>
          <a:off x="4382957" y="5751201"/>
          <a:ext cx="1820731" cy="34476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 - Zoom</a:t>
          </a:r>
        </a:p>
      </xdr:txBody>
    </xdr:sp>
    <xdr:clientData/>
  </xdr:twoCellAnchor>
  <xdr:twoCellAnchor editAs="absolute">
    <xdr:from>
      <xdr:col>1</xdr:col>
      <xdr:colOff>209100</xdr:colOff>
      <xdr:row>29</xdr:row>
      <xdr:rowOff>139177</xdr:rowOff>
    </xdr:from>
    <xdr:to>
      <xdr:col>5</xdr:col>
      <xdr:colOff>175146</xdr:colOff>
      <xdr:row>31</xdr:row>
      <xdr:rowOff>136331</xdr:rowOff>
    </xdr:to>
    <xdr:sp macro="" textlink="">
      <xdr:nvSpPr>
        <xdr:cNvPr id="81" name="Personnel Info" descr="&quot;&quot;" title="Personnel Info Navigation Button">
          <a:hlinkClick xmlns:r="http://schemas.openxmlformats.org/officeDocument/2006/relationships" r:id="rId14" tooltip="Click to view"/>
          <a:extLst>
            <a:ext uri="{FF2B5EF4-FFF2-40B4-BE49-F238E27FC236}">
              <a16:creationId xmlns:a16="http://schemas.microsoft.com/office/drawing/2014/main" id="{7A1AF18E-9301-4695-B683-9C396F22F97B}"/>
            </a:ext>
          </a:extLst>
        </xdr:cNvPr>
        <xdr:cNvSpPr/>
      </xdr:nvSpPr>
      <xdr:spPr>
        <a:xfrm>
          <a:off x="448234" y="5318200"/>
          <a:ext cx="1829808" cy="32761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Z8</a:t>
          </a:r>
        </a:p>
      </xdr:txBody>
    </xdr:sp>
    <xdr:clientData/>
  </xdr:twoCellAnchor>
  <xdr:twoCellAnchor editAs="oneCell">
    <xdr:from>
      <xdr:col>2</xdr:col>
      <xdr:colOff>1055</xdr:colOff>
      <xdr:row>3</xdr:row>
      <xdr:rowOff>132568</xdr:rowOff>
    </xdr:from>
    <xdr:to>
      <xdr:col>11</xdr:col>
      <xdr:colOff>21406</xdr:colOff>
      <xdr:row>17</xdr:row>
      <xdr:rowOff>19662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FEEBA121-302E-3F72-8AF4-42AD5EE01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9290" y="636833"/>
          <a:ext cx="7954116" cy="2232709"/>
        </a:xfrm>
        <a:prstGeom prst="rect">
          <a:avLst/>
        </a:prstGeom>
      </xdr:spPr>
    </xdr:pic>
    <xdr:clientData/>
  </xdr:twoCellAnchor>
  <xdr:twoCellAnchor editAs="absolute">
    <xdr:from>
      <xdr:col>2</xdr:col>
      <xdr:colOff>18712</xdr:colOff>
      <xdr:row>71</xdr:row>
      <xdr:rowOff>48748</xdr:rowOff>
    </xdr:from>
    <xdr:to>
      <xdr:col>10</xdr:col>
      <xdr:colOff>973231</xdr:colOff>
      <xdr:row>73</xdr:row>
      <xdr:rowOff>113994</xdr:rowOff>
    </xdr:to>
    <xdr:sp macro="" textlink="">
      <xdr:nvSpPr>
        <xdr:cNvPr id="3" name="Personnel Info" descr="&quot;&quot;" title="Personnel Info Navigation Button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291B121-97AA-4405-B99F-B17F497FA628}"/>
            </a:ext>
          </a:extLst>
        </xdr:cNvPr>
        <xdr:cNvSpPr/>
      </xdr:nvSpPr>
      <xdr:spPr>
        <a:xfrm>
          <a:off x="489359" y="12285572"/>
          <a:ext cx="7902166" cy="401422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Product List</a:t>
          </a:r>
        </a:p>
      </xdr:txBody>
    </xdr:sp>
    <xdr:clientData/>
  </xdr:twoCellAnchor>
  <xdr:twoCellAnchor editAs="absolute">
    <xdr:from>
      <xdr:col>2</xdr:col>
      <xdr:colOff>22298</xdr:colOff>
      <xdr:row>74</xdr:row>
      <xdr:rowOff>26113</xdr:rowOff>
    </xdr:from>
    <xdr:to>
      <xdr:col>10</xdr:col>
      <xdr:colOff>974912</xdr:colOff>
      <xdr:row>76</xdr:row>
      <xdr:rowOff>99396</xdr:rowOff>
    </xdr:to>
    <xdr:sp macro="" textlink="">
      <xdr:nvSpPr>
        <xdr:cNvPr id="5" name="Personnel Info" descr="&quot;&quot;" title="Personnel Info Navigation Button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6C35CF2-24C8-4E1C-8FE4-B5C6D3B57997}"/>
            </a:ext>
          </a:extLst>
        </xdr:cNvPr>
        <xdr:cNvSpPr/>
      </xdr:nvSpPr>
      <xdr:spPr>
        <a:xfrm>
          <a:off x="492945" y="12767201"/>
          <a:ext cx="7900261" cy="40946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Miscellaneous</a:t>
          </a:r>
        </a:p>
      </xdr:txBody>
    </xdr:sp>
    <xdr:clientData/>
  </xdr:twoCellAnchor>
  <xdr:twoCellAnchor editAs="absolute">
    <xdr:from>
      <xdr:col>6</xdr:col>
      <xdr:colOff>111444</xdr:colOff>
      <xdr:row>29</xdr:row>
      <xdr:rowOff>161589</xdr:rowOff>
    </xdr:from>
    <xdr:to>
      <xdr:col>6</xdr:col>
      <xdr:colOff>1907634</xdr:colOff>
      <xdr:row>31</xdr:row>
      <xdr:rowOff>156838</xdr:rowOff>
    </xdr:to>
    <xdr:sp macro="" textlink="">
      <xdr:nvSpPr>
        <xdr:cNvPr id="4" name="Personnel Info" descr="&quot;&quot;" title="Personnel Info Navigation Button">
          <a:hlinkClick xmlns:r="http://schemas.openxmlformats.org/officeDocument/2006/relationships" r:id="rId22" tooltip="Click to view"/>
          <a:extLst>
            <a:ext uri="{FF2B5EF4-FFF2-40B4-BE49-F238E27FC236}">
              <a16:creationId xmlns:a16="http://schemas.microsoft.com/office/drawing/2014/main" id="{8056AA47-4CDC-40AA-B45D-1E8CBEA6FAA9}"/>
            </a:ext>
          </a:extLst>
        </xdr:cNvPr>
        <xdr:cNvSpPr/>
      </xdr:nvSpPr>
      <xdr:spPr>
        <a:xfrm>
          <a:off x="2453473" y="5338707"/>
          <a:ext cx="1796190" cy="331425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 fc</a:t>
          </a:r>
        </a:p>
      </xdr:txBody>
    </xdr:sp>
    <xdr:clientData/>
  </xdr:twoCellAnchor>
  <xdr:twoCellAnchor editAs="absolute">
    <xdr:from>
      <xdr:col>2</xdr:col>
      <xdr:colOff>5102</xdr:colOff>
      <xdr:row>35</xdr:row>
      <xdr:rowOff>2582</xdr:rowOff>
    </xdr:from>
    <xdr:to>
      <xdr:col>5</xdr:col>
      <xdr:colOff>185740</xdr:colOff>
      <xdr:row>37</xdr:row>
      <xdr:rowOff>49265</xdr:rowOff>
    </xdr:to>
    <xdr:sp macro="" textlink="">
      <xdr:nvSpPr>
        <xdr:cNvPr id="6" name="Personnel Info" descr="&quot;&quot;" title="Personnel Info Navigation Button">
          <a:hlinkClick xmlns:r="http://schemas.openxmlformats.org/officeDocument/2006/relationships" r:id="rId23" tooltip="Click to view"/>
          <a:extLst>
            <a:ext uri="{FF2B5EF4-FFF2-40B4-BE49-F238E27FC236}">
              <a16:creationId xmlns:a16="http://schemas.microsoft.com/office/drawing/2014/main" id="{35A6A1C5-F0F3-49E1-9212-EA9C3C01B419}"/>
            </a:ext>
          </a:extLst>
        </xdr:cNvPr>
        <xdr:cNvSpPr/>
      </xdr:nvSpPr>
      <xdr:spPr>
        <a:xfrm>
          <a:off x="475749" y="6188229"/>
          <a:ext cx="1816697" cy="38286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Z6 III</a:t>
          </a:r>
        </a:p>
      </xdr:txBody>
    </xdr:sp>
    <xdr:clientData/>
  </xdr:twoCellAnchor>
  <xdr:twoCellAnchor editAs="absolute">
    <xdr:from>
      <xdr:col>6</xdr:col>
      <xdr:colOff>123487</xdr:colOff>
      <xdr:row>32</xdr:row>
      <xdr:rowOff>56707</xdr:rowOff>
    </xdr:from>
    <xdr:to>
      <xdr:col>6</xdr:col>
      <xdr:colOff>1915867</xdr:colOff>
      <xdr:row>34</xdr:row>
      <xdr:rowOff>111010</xdr:rowOff>
    </xdr:to>
    <xdr:sp macro="" textlink="">
      <xdr:nvSpPr>
        <xdr:cNvPr id="7" name="Personnel Info" descr="&quot;&quot;" title="Personnel Info Navigation Button">
          <a:hlinkClick xmlns:r="http://schemas.openxmlformats.org/officeDocument/2006/relationships" r:id="rId24" tooltip="Click to view"/>
          <a:extLst>
            <a:ext uri="{FF2B5EF4-FFF2-40B4-BE49-F238E27FC236}">
              <a16:creationId xmlns:a16="http://schemas.microsoft.com/office/drawing/2014/main" id="{E5304D4A-6C06-4949-A680-42C59C39CC6B}"/>
            </a:ext>
          </a:extLst>
        </xdr:cNvPr>
        <xdr:cNvSpPr/>
      </xdr:nvSpPr>
      <xdr:spPr>
        <a:xfrm>
          <a:off x="2465516" y="5738089"/>
          <a:ext cx="1792380" cy="390480"/>
        </a:xfrm>
        <a:prstGeom prst="round2SameRect">
          <a:avLst/>
        </a:prstGeom>
        <a:solidFill>
          <a:schemeClr val="tx1">
            <a:lumMod val="75000"/>
            <a:lumOff val="25000"/>
          </a:schemeClr>
        </a:solidFill>
        <a:ln w="6350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Z50 II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1056714</xdr:colOff>
      <xdr:row>6</xdr:row>
      <xdr:rowOff>74633</xdr:rowOff>
    </xdr:from>
    <xdr:to>
      <xdr:col>8</xdr:col>
      <xdr:colOff>136834</xdr:colOff>
      <xdr:row>15</xdr:row>
      <xdr:rowOff>117775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51141E-26D6-62DF-C63E-8DC7FD08E6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" t="22414" r="5651" b="26576"/>
        <a:stretch/>
      </xdr:blipFill>
      <xdr:spPr>
        <a:xfrm>
          <a:off x="1729067" y="1083162"/>
          <a:ext cx="3760369" cy="1731421"/>
        </a:xfrm>
        <a:prstGeom prst="rect">
          <a:avLst/>
        </a:prstGeom>
      </xdr:spPr>
    </xdr:pic>
    <xdr:clientData/>
  </xdr:twoCellAnchor>
  <xdr:twoCellAnchor editAs="oneCell">
    <xdr:from>
      <xdr:col>8</xdr:col>
      <xdr:colOff>97044</xdr:colOff>
      <xdr:row>1</xdr:row>
      <xdr:rowOff>104318</xdr:rowOff>
    </xdr:from>
    <xdr:to>
      <xdr:col>11</xdr:col>
      <xdr:colOff>97268</xdr:colOff>
      <xdr:row>17</xdr:row>
      <xdr:rowOff>129561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D4B813-961D-DB0D-FA11-356E79EE9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520691" y="272406"/>
          <a:ext cx="2984575" cy="28996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16340</xdr:colOff>
      <xdr:row>7</xdr:row>
      <xdr:rowOff>0</xdr:rowOff>
    </xdr:from>
    <xdr:to>
      <xdr:col>8</xdr:col>
      <xdr:colOff>53707</xdr:colOff>
      <xdr:row>15</xdr:row>
      <xdr:rowOff>55921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82F7A4-5D8E-E861-B14F-116EBE6BE3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26212" r="4257" b="25723"/>
        <a:stretch/>
      </xdr:blipFill>
      <xdr:spPr>
        <a:xfrm>
          <a:off x="1887722" y="1176618"/>
          <a:ext cx="3597252" cy="1610177"/>
        </a:xfrm>
        <a:prstGeom prst="rect">
          <a:avLst/>
        </a:prstGeom>
      </xdr:spPr>
    </xdr:pic>
    <xdr:clientData/>
  </xdr:twoCellAnchor>
  <xdr:twoCellAnchor editAs="oneCell">
    <xdr:from>
      <xdr:col>6</xdr:col>
      <xdr:colOff>2752837</xdr:colOff>
      <xdr:row>2</xdr:row>
      <xdr:rowOff>75080</xdr:rowOff>
    </xdr:from>
    <xdr:to>
      <xdr:col>11</xdr:col>
      <xdr:colOff>130885</xdr:colOff>
      <xdr:row>17</xdr:row>
      <xdr:rowOff>18980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E7B568-72A0-6689-9BC4-9E05545EB8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094866" y="411256"/>
          <a:ext cx="3442112" cy="26842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782508</xdr:colOff>
      <xdr:row>7</xdr:row>
      <xdr:rowOff>1586</xdr:rowOff>
    </xdr:from>
    <xdr:to>
      <xdr:col>8</xdr:col>
      <xdr:colOff>436806</xdr:colOff>
      <xdr:row>15</xdr:row>
      <xdr:rowOff>75861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BED1A0-AF20-96F5-89E2-70D6B3538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8479" y="1178204"/>
          <a:ext cx="4371974" cy="1613291"/>
        </a:xfrm>
        <a:prstGeom prst="rect">
          <a:avLst/>
        </a:prstGeom>
      </xdr:spPr>
    </xdr:pic>
    <xdr:clientData/>
  </xdr:twoCellAnchor>
  <xdr:twoCellAnchor editAs="oneCell">
    <xdr:from>
      <xdr:col>6</xdr:col>
      <xdr:colOff>2678205</xdr:colOff>
      <xdr:row>2</xdr:row>
      <xdr:rowOff>33619</xdr:rowOff>
    </xdr:from>
    <xdr:to>
      <xdr:col>11</xdr:col>
      <xdr:colOff>131715</xdr:colOff>
      <xdr:row>16</xdr:row>
      <xdr:rowOff>104394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DC6F1A-45D1-F78B-0323-8FA811421D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020234" y="369795"/>
          <a:ext cx="3538529" cy="26335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2610746</xdr:colOff>
      <xdr:row>2</xdr:row>
      <xdr:rowOff>97267</xdr:rowOff>
    </xdr:from>
    <xdr:to>
      <xdr:col>11</xdr:col>
      <xdr:colOff>209069</xdr:colOff>
      <xdr:row>16</xdr:row>
      <xdr:rowOff>153297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96EB0B-2ADF-597F-1073-9639D32AF1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952775" y="433443"/>
          <a:ext cx="3685247" cy="2582845"/>
        </a:xfrm>
        <a:prstGeom prst="rect">
          <a:avLst/>
        </a:prstGeom>
      </xdr:spPr>
    </xdr:pic>
    <xdr:clientData/>
  </xdr:twoCellAnchor>
  <xdr:twoCellAnchor editAs="oneCell">
    <xdr:from>
      <xdr:col>3</xdr:col>
      <xdr:colOff>1005165</xdr:colOff>
      <xdr:row>7</xdr:row>
      <xdr:rowOff>132343</xdr:rowOff>
    </xdr:from>
    <xdr:to>
      <xdr:col>7</xdr:col>
      <xdr:colOff>57083</xdr:colOff>
      <xdr:row>14</xdr:row>
      <xdr:rowOff>130103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96BB4-3826-4717-90F6-06B72D173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1136" y="1308961"/>
          <a:ext cx="3541891" cy="1347956"/>
        </a:xfrm>
        <a:prstGeom prst="rect">
          <a:avLst/>
        </a:prstGeom>
      </xdr:spPr>
    </xdr:pic>
    <xdr:clientData/>
  </xdr:twoCellAnchor>
  <xdr:twoCellAnchor editAs="oneCell">
    <xdr:from>
      <xdr:col>6</xdr:col>
      <xdr:colOff>2495546</xdr:colOff>
      <xdr:row>7</xdr:row>
      <xdr:rowOff>133464</xdr:rowOff>
    </xdr:from>
    <xdr:to>
      <xdr:col>7</xdr:col>
      <xdr:colOff>1678</xdr:colOff>
      <xdr:row>14</xdr:row>
      <xdr:rowOff>135034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1257FF-49A4-4225-A360-2BB5B397CA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837575" y="1310082"/>
          <a:ext cx="302560" cy="13460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24541</xdr:colOff>
      <xdr:row>7</xdr:row>
      <xdr:rowOff>139963</xdr:rowOff>
    </xdr:from>
    <xdr:to>
      <xdr:col>8</xdr:col>
      <xdr:colOff>21787</xdr:colOff>
      <xdr:row>14</xdr:row>
      <xdr:rowOff>133913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B7233F-745A-2047-8FEB-886DDC237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62306" y="1316581"/>
          <a:ext cx="3521608" cy="1346051"/>
        </a:xfrm>
        <a:prstGeom prst="rect">
          <a:avLst/>
        </a:prstGeom>
      </xdr:spPr>
    </xdr:pic>
    <xdr:clientData/>
  </xdr:twoCellAnchor>
  <xdr:twoCellAnchor editAs="oneCell">
    <xdr:from>
      <xdr:col>6</xdr:col>
      <xdr:colOff>2715076</xdr:colOff>
      <xdr:row>2</xdr:row>
      <xdr:rowOff>112059</xdr:rowOff>
    </xdr:from>
    <xdr:to>
      <xdr:col>11</xdr:col>
      <xdr:colOff>209551</xdr:colOff>
      <xdr:row>17</xdr:row>
      <xdr:rowOff>20516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2CAAA7-4D28-FE6C-876A-D006D637E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057105" y="448235"/>
          <a:ext cx="3560444" cy="25995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121359</xdr:colOff>
      <xdr:row>7</xdr:row>
      <xdr:rowOff>99164</xdr:rowOff>
    </xdr:from>
    <xdr:to>
      <xdr:col>6</xdr:col>
      <xdr:colOff>2231875</xdr:colOff>
      <xdr:row>14</xdr:row>
      <xdr:rowOff>54013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6E7A3F-5313-E30A-D760-F6B9ADEDC6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183241" y="1275782"/>
          <a:ext cx="2330824" cy="1314570"/>
        </a:xfrm>
        <a:prstGeom prst="rect">
          <a:avLst/>
        </a:prstGeom>
      </xdr:spPr>
    </xdr:pic>
    <xdr:clientData/>
  </xdr:twoCellAnchor>
  <xdr:twoCellAnchor editAs="oneCell">
    <xdr:from>
      <xdr:col>6</xdr:col>
      <xdr:colOff>2592370</xdr:colOff>
      <xdr:row>1</xdr:row>
      <xdr:rowOff>142091</xdr:rowOff>
    </xdr:from>
    <xdr:to>
      <xdr:col>11</xdr:col>
      <xdr:colOff>173581</xdr:colOff>
      <xdr:row>16</xdr:row>
      <xdr:rowOff>129769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DCC28F-5138-6A0E-83F1-7AA723AA74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934399" y="310179"/>
          <a:ext cx="3662420" cy="267877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930087</xdr:colOff>
      <xdr:row>5</xdr:row>
      <xdr:rowOff>93233</xdr:rowOff>
    </xdr:from>
    <xdr:to>
      <xdr:col>6</xdr:col>
      <xdr:colOff>2188957</xdr:colOff>
      <xdr:row>18</xdr:row>
      <xdr:rowOff>46953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E7D2A0-38B8-40A1-A174-C4929F730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28401"/>
        <a:stretch/>
      </xdr:blipFill>
      <xdr:spPr>
        <a:xfrm>
          <a:off x="1636058" y="933674"/>
          <a:ext cx="2891118" cy="2288130"/>
        </a:xfrm>
        <a:prstGeom prst="rect">
          <a:avLst/>
        </a:prstGeom>
      </xdr:spPr>
    </xdr:pic>
    <xdr:clientData/>
  </xdr:twoCellAnchor>
  <xdr:twoCellAnchor editAs="oneCell">
    <xdr:from>
      <xdr:col>6</xdr:col>
      <xdr:colOff>2381141</xdr:colOff>
      <xdr:row>2</xdr:row>
      <xdr:rowOff>76537</xdr:rowOff>
    </xdr:from>
    <xdr:to>
      <xdr:col>11</xdr:col>
      <xdr:colOff>174196</xdr:colOff>
      <xdr:row>16</xdr:row>
      <xdr:rowOff>65554</xdr:rowOff>
    </xdr:to>
    <xdr:pic>
      <xdr:nvPicPr>
        <xdr:cNvPr id="2" name="Picture 1" descr="Nikon Z f 4K Video Mirrorless Camera (Body Only) 1761 - Best Buy">
          <a:extLst>
            <a:ext uri="{FF2B5EF4-FFF2-40B4-BE49-F238E27FC236}">
              <a16:creationId xmlns:a16="http://schemas.microsoft.com/office/drawing/2014/main" id="{6EA6F1EE-8775-D590-4DD8-17F4BDC1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23170" y="412713"/>
          <a:ext cx="3862834" cy="24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2521320</xdr:colOff>
      <xdr:row>2</xdr:row>
      <xdr:rowOff>130885</xdr:rowOff>
    </xdr:from>
    <xdr:to>
      <xdr:col>11</xdr:col>
      <xdr:colOff>206608</xdr:colOff>
      <xdr:row>16</xdr:row>
      <xdr:rowOff>93456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FA5BCE-714B-267D-7BB4-4902D1825D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863349" y="467061"/>
          <a:ext cx="3758877" cy="2468879"/>
        </a:xfrm>
        <a:prstGeom prst="rect">
          <a:avLst/>
        </a:prstGeom>
      </xdr:spPr>
    </xdr:pic>
    <xdr:clientData/>
  </xdr:twoCellAnchor>
  <xdr:twoCellAnchor editAs="oneCell">
    <xdr:from>
      <xdr:col>3</xdr:col>
      <xdr:colOff>933897</xdr:colOff>
      <xdr:row>5</xdr:row>
      <xdr:rowOff>97043</xdr:rowOff>
    </xdr:from>
    <xdr:to>
      <xdr:col>8</xdr:col>
      <xdr:colOff>250333</xdr:colOff>
      <xdr:row>18</xdr:row>
      <xdr:rowOff>45048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2BA7CD-16DE-8F3C-C80B-E1C437762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06250" y="937484"/>
          <a:ext cx="4004305" cy="22805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166181</xdr:colOff>
      <xdr:row>7</xdr:row>
      <xdr:rowOff>131038</xdr:rowOff>
    </xdr:from>
    <xdr:to>
      <xdr:col>6</xdr:col>
      <xdr:colOff>2418337</xdr:colOff>
      <xdr:row>14</xdr:row>
      <xdr:rowOff>91888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C56EDD-3F3B-44AF-94C7-79652697A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37563" y="1307656"/>
          <a:ext cx="2730423" cy="1327967"/>
        </a:xfrm>
        <a:prstGeom prst="rect">
          <a:avLst/>
        </a:prstGeom>
      </xdr:spPr>
    </xdr:pic>
    <xdr:clientData/>
  </xdr:twoCellAnchor>
  <xdr:twoCellAnchor editAs="oneCell">
    <xdr:from>
      <xdr:col>6</xdr:col>
      <xdr:colOff>2273106</xdr:colOff>
      <xdr:row>6</xdr:row>
      <xdr:rowOff>95811</xdr:rowOff>
    </xdr:from>
    <xdr:to>
      <xdr:col>8</xdr:col>
      <xdr:colOff>322175</xdr:colOff>
      <xdr:row>14</xdr:row>
      <xdr:rowOff>130437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8209D1-182F-4CF7-8321-7A9EB7B1A3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615135" y="1104340"/>
          <a:ext cx="1138307" cy="156983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304800</xdr:colOff>
      <xdr:row>11</xdr:row>
      <xdr:rowOff>304800</xdr:rowOff>
    </xdr:to>
    <xdr:sp macro="" textlink="">
      <xdr:nvSpPr>
        <xdr:cNvPr id="10241" name="AutoShape 1" descr="Buy Nikon Z50 II Body #VOA150AE">
          <a:extLst>
            <a:ext uri="{FF2B5EF4-FFF2-40B4-BE49-F238E27FC236}">
              <a16:creationId xmlns:a16="http://schemas.microsoft.com/office/drawing/2014/main" id="{8DE99DD7-83AD-F1D5-F884-093D84E407DB}"/>
            </a:ext>
          </a:extLst>
        </xdr:cNvPr>
        <xdr:cNvSpPr>
          <a:spLocks noChangeAspect="1" noChangeArrowheads="1"/>
        </xdr:cNvSpPr>
      </xdr:nvSpPr>
      <xdr:spPr bwMode="auto">
        <a:xfrm>
          <a:off x="11330940" y="19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304800</xdr:colOff>
      <xdr:row>13</xdr:row>
      <xdr:rowOff>133350</xdr:rowOff>
    </xdr:to>
    <xdr:sp macro="" textlink="">
      <xdr:nvSpPr>
        <xdr:cNvPr id="10242" name="AutoShape 2" descr="Buy Nikon Z50 II Body #VOA150AE">
          <a:extLst>
            <a:ext uri="{FF2B5EF4-FFF2-40B4-BE49-F238E27FC236}">
              <a16:creationId xmlns:a16="http://schemas.microsoft.com/office/drawing/2014/main" id="{C7BD10D2-C980-EC5E-589C-8D7FD601A3DB}"/>
            </a:ext>
          </a:extLst>
        </xdr:cNvPr>
        <xdr:cNvSpPr>
          <a:spLocks noChangeAspect="1" noChangeArrowheads="1"/>
        </xdr:cNvSpPr>
      </xdr:nvSpPr>
      <xdr:spPr bwMode="auto">
        <a:xfrm>
          <a:off x="10721340" y="227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304800</xdr:colOff>
      <xdr:row>17</xdr:row>
      <xdr:rowOff>133350</xdr:rowOff>
    </xdr:to>
    <xdr:sp macro="" textlink="">
      <xdr:nvSpPr>
        <xdr:cNvPr id="10243" name="AutoShape 3" descr="Buy Nikon Z50 II Body #VOA150AE">
          <a:extLst>
            <a:ext uri="{FF2B5EF4-FFF2-40B4-BE49-F238E27FC236}">
              <a16:creationId xmlns:a16="http://schemas.microsoft.com/office/drawing/2014/main" id="{67C7CB23-638E-92EC-ACF3-428AB683AF7F}"/>
            </a:ext>
          </a:extLst>
        </xdr:cNvPr>
        <xdr:cNvSpPr>
          <a:spLocks noChangeAspect="1" noChangeArrowheads="1"/>
        </xdr:cNvSpPr>
      </xdr:nvSpPr>
      <xdr:spPr bwMode="auto">
        <a:xfrm>
          <a:off x="10721340" y="297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2843413</xdr:colOff>
      <xdr:row>3</xdr:row>
      <xdr:rowOff>57934</xdr:rowOff>
    </xdr:from>
    <xdr:to>
      <xdr:col>11</xdr:col>
      <xdr:colOff>207059</xdr:colOff>
      <xdr:row>16</xdr:row>
      <xdr:rowOff>132342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E611FC-6108-669E-BCEF-8D2A27B13F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185442" y="562199"/>
          <a:ext cx="3437235" cy="24614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2782870</xdr:colOff>
      <xdr:row>5</xdr:row>
      <xdr:rowOff>17234</xdr:rowOff>
    </xdr:from>
    <xdr:to>
      <xdr:col>11</xdr:col>
      <xdr:colOff>130439</xdr:colOff>
      <xdr:row>16</xdr:row>
      <xdr:rowOff>48410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F33E6E-27CC-B854-E3B0-E899C3D91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124899" y="857675"/>
          <a:ext cx="3421158" cy="2059441"/>
        </a:xfrm>
        <a:prstGeom prst="rect">
          <a:avLst/>
        </a:prstGeom>
      </xdr:spPr>
    </xdr:pic>
    <xdr:clientData/>
  </xdr:twoCellAnchor>
  <xdr:twoCellAnchor editAs="oneCell">
    <xdr:from>
      <xdr:col>4</xdr:col>
      <xdr:colOff>134474</xdr:colOff>
      <xdr:row>6</xdr:row>
      <xdr:rowOff>95401</xdr:rowOff>
    </xdr:from>
    <xdr:to>
      <xdr:col>8</xdr:col>
      <xdr:colOff>97493</xdr:colOff>
      <xdr:row>15</xdr:row>
      <xdr:rowOff>130658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D9EDE0-7BB8-54A4-F953-AADD10C3A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05856" y="1103930"/>
          <a:ext cx="3515284" cy="172163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134246</xdr:colOff>
      <xdr:row>6</xdr:row>
      <xdr:rowOff>74632</xdr:rowOff>
    </xdr:from>
    <xdr:to>
      <xdr:col>11</xdr:col>
      <xdr:colOff>153940</xdr:colOff>
      <xdr:row>11</xdr:row>
      <xdr:rowOff>151041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39E768-9E15-EDF7-A4BE-32A1D7FE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8364" y="1083161"/>
          <a:ext cx="8177576" cy="9168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139960</xdr:colOff>
      <xdr:row>6</xdr:row>
      <xdr:rowOff>44840</xdr:rowOff>
    </xdr:from>
    <xdr:to>
      <xdr:col>11</xdr:col>
      <xdr:colOff>209774</xdr:colOff>
      <xdr:row>12</xdr:row>
      <xdr:rowOff>58723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ED371A-4726-F9C5-A018-B0A1EFEF1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4078" y="1053369"/>
          <a:ext cx="8214361" cy="100907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91551</xdr:colOff>
      <xdr:row>5</xdr:row>
      <xdr:rowOff>7397</xdr:rowOff>
    </xdr:from>
    <xdr:to>
      <xdr:col>11</xdr:col>
      <xdr:colOff>208055</xdr:colOff>
      <xdr:row>12</xdr:row>
      <xdr:rowOff>55806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F6E48B-F6EF-5F29-D060-9670ADFF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5669" y="847838"/>
          <a:ext cx="8283911" cy="122121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130659</xdr:colOff>
      <xdr:row>6</xdr:row>
      <xdr:rowOff>101867</xdr:rowOff>
    </xdr:from>
    <xdr:to>
      <xdr:col>12</xdr:col>
      <xdr:colOff>0</xdr:colOff>
      <xdr:row>11</xdr:row>
      <xdr:rowOff>149135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E44FB2-3578-8952-9BF7-7012A4B8B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4777" y="1110396"/>
          <a:ext cx="8251341" cy="887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76760</xdr:colOff>
      <xdr:row>3</xdr:row>
      <xdr:rowOff>42268</xdr:rowOff>
    </xdr:from>
    <xdr:to>
      <xdr:col>13</xdr:col>
      <xdr:colOff>282276</xdr:colOff>
      <xdr:row>13</xdr:row>
      <xdr:rowOff>57934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ADDF4E-F045-DE39-09F4-565C744CB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760" y="546533"/>
          <a:ext cx="9030036" cy="168130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281828</xdr:colOff>
      <xdr:row>2</xdr:row>
      <xdr:rowOff>2130</xdr:rowOff>
    </xdr:from>
    <xdr:to>
      <xdr:col>10</xdr:col>
      <xdr:colOff>969421</xdr:colOff>
      <xdr:row>14</xdr:row>
      <xdr:rowOff>56178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AB879E-A7D7-2C45-A3CA-3F20569438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705475" y="338306"/>
          <a:ext cx="2674620" cy="2067297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112059</xdr:colOff>
      <xdr:row>7</xdr:row>
      <xdr:rowOff>123266</xdr:rowOff>
    </xdr:from>
    <xdr:to>
      <xdr:col>8</xdr:col>
      <xdr:colOff>285415</xdr:colOff>
      <xdr:row>12</xdr:row>
      <xdr:rowOff>16918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309-A587-8C72-DC87-2AE644EB5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7383" y="1299884"/>
          <a:ext cx="5375014" cy="73790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132567</xdr:rowOff>
    </xdr:from>
    <xdr:to>
      <xdr:col>13</xdr:col>
      <xdr:colOff>78442</xdr:colOff>
      <xdr:row>14</xdr:row>
      <xdr:rowOff>22399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4208B5-AC28-E18C-C7B1-24C2866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1141096"/>
          <a:ext cx="8964706" cy="124025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112059</xdr:rowOff>
    </xdr:from>
    <xdr:to>
      <xdr:col>13</xdr:col>
      <xdr:colOff>78441</xdr:colOff>
      <xdr:row>15</xdr:row>
      <xdr:rowOff>17131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BB1C63-34C8-48FA-9F74-C4F73B21D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288677"/>
          <a:ext cx="8964706" cy="1244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79"/>
  <sheetViews>
    <sheetView showGridLines="0" showRowColHeaders="0" tabSelected="1" zoomScale="85" zoomScaleNormal="85" workbookViewId="0">
      <selection activeCell="G21" sqref="G21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37"/>
      <c r="E2" s="36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31"/>
      <c r="D3" s="37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37"/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31"/>
      <c r="D5" s="37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37"/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31"/>
      <c r="D7" s="37"/>
      <c r="E7" s="36"/>
      <c r="F7" s="8"/>
      <c r="G7" s="22"/>
      <c r="H7" s="8"/>
      <c r="J7" s="34"/>
      <c r="K7" s="35"/>
      <c r="M7" s="7"/>
    </row>
    <row r="8" spans="1:13" ht="13.7" customHeight="1" x14ac:dyDescent="0.25">
      <c r="A8" s="10"/>
      <c r="B8" s="31"/>
      <c r="C8" s="31"/>
      <c r="D8" s="37"/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37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31"/>
      <c r="D10" s="37"/>
      <c r="E10" s="36"/>
      <c r="F10" s="8"/>
      <c r="G10" s="22"/>
      <c r="H10" s="8"/>
      <c r="J10" s="34"/>
      <c r="K10" s="35"/>
      <c r="M10" s="7"/>
    </row>
    <row r="11" spans="1:13" s="13" customFormat="1" ht="13.7" customHeight="1" x14ac:dyDescent="0.25">
      <c r="A11" s="16"/>
      <c r="B11" s="31"/>
      <c r="C11" s="31"/>
      <c r="D11" s="37"/>
      <c r="E11" s="36"/>
      <c r="F11" s="57"/>
      <c r="G11" s="22"/>
      <c r="H11" s="57"/>
      <c r="I11" s="17"/>
      <c r="J11" s="44"/>
      <c r="K11" s="45"/>
      <c r="M11" s="12"/>
    </row>
    <row r="12" spans="1:13" s="13" customFormat="1" x14ac:dyDescent="0.25">
      <c r="A12" s="16"/>
      <c r="B12" s="31"/>
      <c r="C12" s="31"/>
      <c r="D12" s="37"/>
      <c r="E12" s="36"/>
      <c r="F12" s="57"/>
      <c r="G12" s="22"/>
      <c r="H12" s="57"/>
      <c r="I12" s="17"/>
      <c r="J12" s="44"/>
      <c r="K12" s="45"/>
      <c r="M12" s="12"/>
    </row>
    <row r="13" spans="1:13" x14ac:dyDescent="0.25">
      <c r="A13" s="10"/>
      <c r="B13" s="31"/>
      <c r="C13" s="31"/>
      <c r="D13" s="37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37"/>
      <c r="E14" s="36"/>
      <c r="F14" s="8"/>
      <c r="G14" s="22"/>
      <c r="H14" s="8"/>
      <c r="J14" s="34"/>
      <c r="K14" s="35"/>
      <c r="M14" s="9"/>
    </row>
    <row r="15" spans="1:13" x14ac:dyDescent="0.25">
      <c r="A15" s="10"/>
      <c r="B15" s="31"/>
      <c r="C15" s="31"/>
      <c r="D15" s="37"/>
      <c r="E15" s="36"/>
      <c r="F15" s="8"/>
      <c r="G15" s="22"/>
      <c r="H15" s="8"/>
      <c r="J15" s="34"/>
      <c r="K15" s="35"/>
      <c r="M15" s="9"/>
    </row>
    <row r="16" spans="1:13" x14ac:dyDescent="0.25">
      <c r="A16" s="10"/>
      <c r="B16" s="31"/>
      <c r="C16" s="31"/>
      <c r="D16" s="37"/>
      <c r="E16" s="36"/>
      <c r="F16" s="8"/>
      <c r="G16" s="22"/>
      <c r="H16" s="8"/>
      <c r="J16" s="34"/>
      <c r="K16" s="35"/>
      <c r="M16" s="9"/>
    </row>
    <row r="17" spans="1:13" x14ac:dyDescent="0.25">
      <c r="A17" s="10"/>
      <c r="B17" s="31"/>
      <c r="C17" s="31"/>
      <c r="D17" s="37"/>
      <c r="E17" s="36"/>
      <c r="F17" s="8"/>
      <c r="G17" s="22"/>
      <c r="H17" s="8"/>
      <c r="J17" s="34"/>
      <c r="K17" s="35"/>
      <c r="M17" s="9"/>
    </row>
    <row r="18" spans="1:13" x14ac:dyDescent="0.25">
      <c r="A18" s="10"/>
      <c r="B18" s="31"/>
      <c r="C18" s="31"/>
      <c r="D18" s="37"/>
      <c r="E18" s="36"/>
      <c r="F18" s="8"/>
      <c r="G18" s="22"/>
      <c r="H18" s="8"/>
      <c r="J18" s="34"/>
      <c r="K18" s="35"/>
      <c r="M18" s="9"/>
    </row>
    <row r="19" spans="1:13" ht="13.5" thickBot="1" x14ac:dyDescent="0.3">
      <c r="A19" s="10"/>
      <c r="B19" s="31"/>
      <c r="C19" s="31"/>
      <c r="D19" s="37"/>
      <c r="E19" s="36"/>
      <c r="F19" s="8"/>
      <c r="G19" s="22"/>
      <c r="H19" s="8"/>
      <c r="J19" s="34"/>
      <c r="K19" s="35"/>
      <c r="M19" s="9"/>
    </row>
    <row r="20" spans="1:13" ht="34.5" thickBot="1" x14ac:dyDescent="0.3">
      <c r="A20" s="10"/>
      <c r="B20" s="31"/>
      <c r="C20" s="31"/>
      <c r="D20" s="37"/>
      <c r="E20" s="36"/>
      <c r="F20" s="8"/>
      <c r="G20" s="87" t="s">
        <v>940</v>
      </c>
      <c r="H20" s="88"/>
      <c r="I20" s="88"/>
      <c r="J20" s="88"/>
      <c r="K20" s="89"/>
      <c r="M20" s="9"/>
    </row>
    <row r="21" spans="1:13" ht="13.5" thickBot="1" x14ac:dyDescent="0.3">
      <c r="A21" s="10"/>
      <c r="B21" s="31"/>
      <c r="C21" s="31"/>
      <c r="D21" s="59"/>
      <c r="E21" s="36"/>
      <c r="F21" s="8"/>
      <c r="G21" s="22"/>
      <c r="H21" s="8"/>
      <c r="J21" s="34"/>
      <c r="K21" s="35"/>
      <c r="M21" s="9"/>
    </row>
    <row r="22" spans="1:13" ht="13.5" thickBot="1" x14ac:dyDescent="0.3">
      <c r="A22" s="10"/>
      <c r="B22" s="31"/>
      <c r="C22" s="39"/>
      <c r="D22" s="60"/>
      <c r="E22" s="40"/>
      <c r="F22" s="55"/>
      <c r="G22" s="41"/>
      <c r="H22" s="55"/>
      <c r="I22" s="42"/>
      <c r="J22" s="43"/>
      <c r="K22" s="56"/>
      <c r="M22" s="9"/>
    </row>
    <row r="23" spans="1:13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3" x14ac:dyDescent="0.25">
      <c r="A24" s="10"/>
      <c r="B24" s="31"/>
      <c r="C24" s="31"/>
      <c r="D24" s="53"/>
      <c r="E24" s="33"/>
      <c r="F24" s="2"/>
      <c r="H24" s="2"/>
      <c r="J24" s="34"/>
      <c r="K24" s="35"/>
      <c r="M24" s="9"/>
    </row>
    <row r="25" spans="1:13" x14ac:dyDescent="0.25">
      <c r="A25" s="10"/>
      <c r="B25" s="31"/>
      <c r="C25" s="31"/>
      <c r="D25" s="53"/>
      <c r="E25" s="33"/>
      <c r="F25" s="2"/>
      <c r="H25" s="2"/>
      <c r="J25" s="34"/>
      <c r="K25" s="35"/>
      <c r="M25" s="9"/>
    </row>
    <row r="26" spans="1:13" x14ac:dyDescent="0.25">
      <c r="A26" s="10"/>
      <c r="B26" s="31"/>
      <c r="C26" s="31"/>
      <c r="D26" s="53"/>
      <c r="E26" s="33"/>
      <c r="F26" s="2"/>
      <c r="H26" s="2"/>
      <c r="J26" s="34"/>
      <c r="K26" s="35"/>
      <c r="M26" s="9"/>
    </row>
    <row r="27" spans="1:13" x14ac:dyDescent="0.25">
      <c r="A27" s="10"/>
      <c r="B27" s="31"/>
      <c r="C27" s="31"/>
      <c r="D27" s="53"/>
      <c r="E27" s="33"/>
      <c r="F27" s="2"/>
      <c r="H27" s="2"/>
      <c r="J27" s="34"/>
      <c r="K27" s="35"/>
      <c r="M27" s="9"/>
    </row>
    <row r="28" spans="1:13" x14ac:dyDescent="0.25">
      <c r="A28" s="10"/>
      <c r="B28" s="31"/>
      <c r="C28" s="31"/>
      <c r="D28" s="53"/>
      <c r="E28" s="33"/>
      <c r="F28" s="2"/>
      <c r="H28" s="2"/>
      <c r="J28" s="34"/>
      <c r="K28" s="35"/>
      <c r="M28" s="9"/>
    </row>
    <row r="29" spans="1:13" x14ac:dyDescent="0.25">
      <c r="A29" s="10"/>
      <c r="B29" s="31"/>
      <c r="C29" s="31"/>
      <c r="D29" s="53"/>
      <c r="E29" s="33"/>
      <c r="F29" s="2"/>
      <c r="H29" s="2"/>
      <c r="J29" s="34"/>
      <c r="K29" s="35"/>
      <c r="M29" s="9"/>
    </row>
    <row r="30" spans="1:13" x14ac:dyDescent="0.25">
      <c r="A30" s="10"/>
      <c r="B30" s="31"/>
      <c r="C30" s="31"/>
      <c r="D30" s="53"/>
      <c r="E30" s="33"/>
      <c r="F30" s="2"/>
      <c r="H30" s="2"/>
      <c r="J30" s="34"/>
      <c r="K30" s="35"/>
      <c r="M30" s="9"/>
    </row>
    <row r="31" spans="1:13" x14ac:dyDescent="0.25">
      <c r="A31" s="10"/>
      <c r="B31" s="31"/>
      <c r="C31" s="31"/>
      <c r="D31" s="53"/>
      <c r="E31" s="33"/>
      <c r="F31" s="2"/>
      <c r="H31" s="2"/>
      <c r="J31" s="34"/>
      <c r="K31" s="35"/>
      <c r="M31" s="9"/>
    </row>
    <row r="32" spans="1:13" x14ac:dyDescent="0.25">
      <c r="A32" s="10"/>
      <c r="B32" s="31"/>
      <c r="C32" s="31"/>
      <c r="D32" s="53"/>
      <c r="E32" s="33"/>
      <c r="F32" s="2"/>
      <c r="H32" s="2"/>
      <c r="J32" s="34"/>
      <c r="K32" s="35"/>
      <c r="M32" s="9"/>
    </row>
    <row r="33" spans="1:13" x14ac:dyDescent="0.25">
      <c r="A33" s="10"/>
      <c r="B33" s="31"/>
      <c r="C33" s="31"/>
      <c r="D33" s="53"/>
      <c r="E33" s="33"/>
      <c r="F33" s="2"/>
      <c r="H33" s="2"/>
      <c r="J33" s="34"/>
      <c r="K33" s="35"/>
      <c r="M33" s="9"/>
    </row>
    <row r="34" spans="1:13" x14ac:dyDescent="0.25">
      <c r="A34" s="10"/>
      <c r="B34" s="31"/>
      <c r="C34" s="31"/>
      <c r="D34" s="53"/>
      <c r="E34" s="33"/>
      <c r="F34" s="2"/>
      <c r="H34" s="2"/>
      <c r="J34" s="34"/>
      <c r="K34" s="35"/>
      <c r="M34" s="9"/>
    </row>
    <row r="35" spans="1:13" x14ac:dyDescent="0.25">
      <c r="A35" s="10"/>
      <c r="B35" s="31"/>
      <c r="C35" s="31"/>
      <c r="D35" s="53"/>
      <c r="E35" s="33"/>
      <c r="F35" s="2"/>
      <c r="H35" s="2"/>
      <c r="J35" s="34"/>
      <c r="K35" s="35"/>
      <c r="M35" s="9"/>
    </row>
    <row r="36" spans="1:13" x14ac:dyDescent="0.25">
      <c r="A36" s="10"/>
      <c r="B36" s="31"/>
      <c r="C36" s="31"/>
      <c r="D36" s="53"/>
      <c r="E36" s="33"/>
      <c r="F36" s="2"/>
      <c r="H36" s="2"/>
      <c r="J36" s="34"/>
      <c r="K36" s="35"/>
      <c r="M36" s="9"/>
    </row>
    <row r="37" spans="1:13" x14ac:dyDescent="0.25">
      <c r="A37" s="10"/>
      <c r="B37" s="31"/>
      <c r="C37" s="31"/>
      <c r="D37" s="53"/>
      <c r="E37" s="33"/>
      <c r="F37" s="2"/>
      <c r="H37" s="2"/>
      <c r="J37" s="34"/>
      <c r="K37" s="35"/>
      <c r="M37" s="9"/>
    </row>
    <row r="38" spans="1:13" x14ac:dyDescent="0.25">
      <c r="A38" s="10"/>
      <c r="B38" s="31"/>
      <c r="C38" s="31"/>
      <c r="D38" s="53"/>
      <c r="E38" s="33"/>
      <c r="F38" s="2"/>
      <c r="H38" s="2"/>
      <c r="J38" s="34"/>
      <c r="K38" s="35"/>
      <c r="M38" s="9"/>
    </row>
    <row r="39" spans="1:13" x14ac:dyDescent="0.25">
      <c r="A39" s="10"/>
      <c r="B39" s="31"/>
      <c r="C39" s="31"/>
      <c r="D39" s="53"/>
      <c r="E39" s="33"/>
      <c r="F39" s="2"/>
      <c r="H39" s="2"/>
      <c r="J39" s="34"/>
      <c r="K39" s="35"/>
      <c r="M39" s="9"/>
    </row>
    <row r="40" spans="1:13" x14ac:dyDescent="0.25">
      <c r="A40" s="10"/>
      <c r="B40" s="31"/>
      <c r="C40" s="31"/>
      <c r="D40" s="53"/>
      <c r="E40" s="33"/>
      <c r="F40" s="2"/>
      <c r="H40" s="2"/>
      <c r="J40" s="34"/>
      <c r="K40" s="35"/>
      <c r="M40" s="9"/>
    </row>
    <row r="41" spans="1:13" x14ac:dyDescent="0.25">
      <c r="A41" s="10"/>
      <c r="B41" s="31"/>
      <c r="C41" s="31"/>
      <c r="D41" s="53"/>
      <c r="E41" s="33"/>
      <c r="F41" s="2"/>
      <c r="H41" s="2"/>
      <c r="J41" s="34"/>
      <c r="K41" s="35"/>
      <c r="M41" s="9"/>
    </row>
    <row r="42" spans="1:13" x14ac:dyDescent="0.25">
      <c r="A42" s="10"/>
      <c r="B42" s="31"/>
      <c r="C42" s="31"/>
      <c r="D42" s="53"/>
      <c r="E42" s="33"/>
      <c r="F42" s="2"/>
      <c r="H42" s="2"/>
      <c r="J42" s="34"/>
      <c r="K42" s="35"/>
      <c r="M42" s="9"/>
    </row>
    <row r="43" spans="1:13" x14ac:dyDescent="0.25">
      <c r="A43" s="10"/>
      <c r="B43" s="31"/>
      <c r="C43" s="31"/>
      <c r="D43" s="53"/>
      <c r="E43" s="33"/>
      <c r="F43" s="2"/>
      <c r="H43" s="2"/>
      <c r="J43" s="34"/>
      <c r="K43" s="35"/>
      <c r="M43" s="9"/>
    </row>
    <row r="44" spans="1:13" x14ac:dyDescent="0.25">
      <c r="A44" s="10"/>
      <c r="B44" s="31"/>
      <c r="C44" s="31"/>
      <c r="D44" s="53"/>
      <c r="E44" s="33"/>
      <c r="F44" s="2"/>
      <c r="H44" s="2"/>
      <c r="J44" s="34"/>
      <c r="K44" s="35"/>
      <c r="M44" s="9"/>
    </row>
    <row r="45" spans="1:13" x14ac:dyDescent="0.25">
      <c r="A45" s="10"/>
      <c r="B45" s="31"/>
      <c r="C45" s="31"/>
      <c r="D45" s="53"/>
      <c r="E45" s="33"/>
      <c r="F45" s="2"/>
      <c r="H45" s="2"/>
      <c r="J45" s="34"/>
      <c r="K45" s="35"/>
      <c r="M45" s="9"/>
    </row>
    <row r="46" spans="1:13" x14ac:dyDescent="0.25">
      <c r="A46" s="10"/>
      <c r="B46" s="31"/>
      <c r="C46" s="31"/>
      <c r="D46" s="53"/>
      <c r="E46" s="33"/>
      <c r="F46" s="2"/>
      <c r="H46" s="2"/>
      <c r="J46" s="34"/>
      <c r="K46" s="35"/>
      <c r="M46" s="9"/>
    </row>
    <row r="47" spans="1:13" x14ac:dyDescent="0.25">
      <c r="A47" s="10"/>
      <c r="B47" s="31"/>
      <c r="C47" s="31"/>
      <c r="D47" s="53"/>
      <c r="E47" s="33"/>
      <c r="F47" s="2"/>
      <c r="H47" s="2"/>
      <c r="J47" s="34"/>
      <c r="K47" s="35"/>
      <c r="M47" s="9"/>
    </row>
    <row r="48" spans="1:13" x14ac:dyDescent="0.25">
      <c r="A48" s="10"/>
      <c r="B48" s="31"/>
      <c r="C48" s="31"/>
      <c r="D48" s="53"/>
      <c r="E48" s="33"/>
      <c r="F48" s="2"/>
      <c r="H48" s="2"/>
      <c r="J48" s="34"/>
      <c r="K48" s="35"/>
      <c r="M48" s="9"/>
    </row>
    <row r="49" spans="1:13" x14ac:dyDescent="0.25">
      <c r="A49" s="10"/>
      <c r="B49" s="31"/>
      <c r="C49" s="31"/>
      <c r="D49" s="53"/>
      <c r="E49" s="33"/>
      <c r="F49" s="2"/>
      <c r="H49" s="2"/>
      <c r="J49" s="34"/>
      <c r="K49" s="35"/>
      <c r="M49" s="9"/>
    </row>
    <row r="50" spans="1:13" x14ac:dyDescent="0.25">
      <c r="A50" s="10"/>
      <c r="B50" s="31"/>
      <c r="C50" s="31"/>
      <c r="D50" s="53"/>
      <c r="E50" s="33"/>
      <c r="F50" s="2"/>
      <c r="H50" s="2"/>
      <c r="J50" s="34"/>
      <c r="K50" s="35"/>
      <c r="M50" s="9"/>
    </row>
    <row r="51" spans="1:13" x14ac:dyDescent="0.25">
      <c r="A51" s="10"/>
      <c r="B51" s="31"/>
      <c r="C51" s="31"/>
      <c r="D51" s="53"/>
      <c r="E51" s="33"/>
      <c r="F51" s="2"/>
      <c r="H51" s="2"/>
      <c r="J51" s="34"/>
      <c r="K51" s="35"/>
      <c r="M51" s="9"/>
    </row>
    <row r="52" spans="1:13" x14ac:dyDescent="0.25">
      <c r="A52" s="10"/>
      <c r="B52" s="31"/>
      <c r="C52" s="31"/>
      <c r="D52" s="53"/>
      <c r="E52" s="33"/>
      <c r="F52" s="2"/>
      <c r="H52" s="2"/>
      <c r="J52" s="34"/>
      <c r="K52" s="35"/>
      <c r="M52" s="9"/>
    </row>
    <row r="53" spans="1:13" x14ac:dyDescent="0.25">
      <c r="A53" s="10"/>
      <c r="B53" s="31"/>
      <c r="C53" s="31"/>
      <c r="D53" s="53"/>
      <c r="E53" s="33"/>
      <c r="F53" s="2"/>
      <c r="H53" s="2"/>
      <c r="J53" s="34"/>
      <c r="K53" s="35"/>
      <c r="M53" s="9"/>
    </row>
    <row r="54" spans="1:13" x14ac:dyDescent="0.25">
      <c r="A54" s="10"/>
      <c r="B54" s="31"/>
      <c r="C54" s="31"/>
      <c r="D54" s="53"/>
      <c r="E54" s="33"/>
      <c r="F54" s="2"/>
      <c r="H54" s="2"/>
      <c r="J54" s="34"/>
      <c r="K54" s="35"/>
      <c r="M54" s="9"/>
    </row>
    <row r="55" spans="1:13" x14ac:dyDescent="0.25">
      <c r="A55" s="10"/>
      <c r="B55" s="31"/>
      <c r="C55" s="31"/>
      <c r="D55" s="53"/>
      <c r="E55" s="33"/>
      <c r="F55" s="2"/>
      <c r="H55" s="2"/>
      <c r="J55" s="34"/>
      <c r="K55" s="35"/>
      <c r="M55" s="9"/>
    </row>
    <row r="56" spans="1:13" x14ac:dyDescent="0.25">
      <c r="A56" s="10"/>
      <c r="B56" s="31"/>
      <c r="C56" s="31"/>
      <c r="D56" s="53"/>
      <c r="E56" s="33"/>
      <c r="F56" s="2"/>
      <c r="H56" s="2"/>
      <c r="J56" s="34"/>
      <c r="K56" s="35"/>
      <c r="M56" s="9"/>
    </row>
    <row r="57" spans="1:13" x14ac:dyDescent="0.25">
      <c r="A57" s="10"/>
      <c r="B57" s="31"/>
      <c r="C57" s="31"/>
      <c r="D57" s="53"/>
      <c r="E57" s="33"/>
      <c r="F57" s="2"/>
      <c r="H57" s="2"/>
      <c r="J57" s="34"/>
      <c r="K57" s="35"/>
      <c r="M57" s="9"/>
    </row>
    <row r="58" spans="1:13" x14ac:dyDescent="0.25">
      <c r="A58" s="10"/>
      <c r="B58" s="31"/>
      <c r="C58" s="31"/>
      <c r="D58" s="53"/>
      <c r="E58" s="33"/>
      <c r="F58" s="2"/>
      <c r="H58" s="2"/>
      <c r="J58" s="34"/>
      <c r="K58" s="35"/>
      <c r="M58" s="9"/>
    </row>
    <row r="59" spans="1:13" x14ac:dyDescent="0.25">
      <c r="A59" s="10"/>
      <c r="B59" s="31"/>
      <c r="C59" s="31"/>
      <c r="D59" s="53"/>
      <c r="E59" s="33"/>
      <c r="F59" s="2"/>
      <c r="H59" s="2"/>
      <c r="J59" s="34"/>
      <c r="K59" s="35"/>
      <c r="M59" s="9"/>
    </row>
    <row r="60" spans="1:13" x14ac:dyDescent="0.25">
      <c r="A60" s="10"/>
      <c r="B60" s="31"/>
      <c r="C60" s="31"/>
      <c r="D60" s="53"/>
      <c r="E60" s="33"/>
      <c r="F60" s="2"/>
      <c r="H60" s="2"/>
      <c r="J60" s="34"/>
      <c r="K60" s="35"/>
      <c r="M60" s="9"/>
    </row>
    <row r="61" spans="1:13" x14ac:dyDescent="0.25">
      <c r="A61" s="10"/>
      <c r="B61" s="31"/>
      <c r="C61" s="31"/>
      <c r="D61" s="53"/>
      <c r="E61" s="33"/>
      <c r="F61" s="2"/>
      <c r="H61" s="2"/>
      <c r="J61" s="34"/>
      <c r="K61" s="35"/>
      <c r="M61" s="9"/>
    </row>
    <row r="62" spans="1:13" x14ac:dyDescent="0.25">
      <c r="A62" s="10"/>
      <c r="B62" s="31"/>
      <c r="C62" s="31"/>
      <c r="D62" s="53"/>
      <c r="E62" s="33"/>
      <c r="F62" s="2"/>
      <c r="H62" s="2"/>
      <c r="J62" s="34"/>
      <c r="K62" s="35"/>
      <c r="M62" s="9"/>
    </row>
    <row r="63" spans="1:13" x14ac:dyDescent="0.25">
      <c r="A63" s="10"/>
      <c r="B63" s="31"/>
      <c r="C63" s="31"/>
      <c r="D63" s="53"/>
      <c r="E63" s="33"/>
      <c r="F63" s="2"/>
      <c r="H63" s="2"/>
      <c r="J63" s="34"/>
      <c r="K63" s="35"/>
      <c r="M63" s="9"/>
    </row>
    <row r="64" spans="1:13" x14ac:dyDescent="0.25">
      <c r="A64" s="10"/>
      <c r="B64" s="31"/>
      <c r="C64" s="31"/>
      <c r="D64" s="53"/>
      <c r="E64" s="33"/>
      <c r="F64" s="2"/>
      <c r="H64" s="2"/>
      <c r="J64" s="34"/>
      <c r="K64" s="35"/>
      <c r="M64" s="9"/>
    </row>
    <row r="65" spans="1:13" x14ac:dyDescent="0.25">
      <c r="A65" s="10"/>
      <c r="B65" s="31"/>
      <c r="C65" s="31"/>
      <c r="D65" s="53"/>
      <c r="E65" s="33"/>
      <c r="F65" s="2"/>
      <c r="H65" s="2"/>
      <c r="J65" s="34"/>
      <c r="K65" s="35"/>
      <c r="M65" s="9"/>
    </row>
    <row r="66" spans="1:13" x14ac:dyDescent="0.25">
      <c r="A66" s="10"/>
      <c r="B66" s="31"/>
      <c r="C66" s="31"/>
      <c r="D66" s="53"/>
      <c r="E66" s="33"/>
      <c r="F66" s="2"/>
      <c r="H66" s="2"/>
      <c r="J66" s="34"/>
      <c r="K66" s="35"/>
      <c r="M66" s="9"/>
    </row>
    <row r="67" spans="1:13" x14ac:dyDescent="0.25">
      <c r="A67" s="10"/>
      <c r="B67" s="31"/>
      <c r="C67" s="31"/>
      <c r="D67" s="53"/>
      <c r="E67" s="33"/>
      <c r="F67" s="2"/>
      <c r="H67" s="2"/>
      <c r="J67" s="34"/>
      <c r="K67" s="35"/>
      <c r="M67" s="9"/>
    </row>
    <row r="68" spans="1:13" x14ac:dyDescent="0.25">
      <c r="A68" s="10"/>
      <c r="B68" s="31"/>
      <c r="C68" s="31"/>
      <c r="D68" s="53"/>
      <c r="E68" s="33"/>
      <c r="F68" s="2"/>
      <c r="H68" s="2"/>
      <c r="J68" s="34"/>
      <c r="K68" s="35"/>
      <c r="M68" s="9"/>
    </row>
    <row r="69" spans="1:13" x14ac:dyDescent="0.25">
      <c r="A69" s="10"/>
      <c r="B69" s="31"/>
      <c r="C69" s="31"/>
      <c r="D69" s="53"/>
      <c r="E69" s="33"/>
      <c r="F69" s="2"/>
      <c r="H69" s="2"/>
      <c r="J69" s="34"/>
      <c r="K69" s="35"/>
      <c r="M69" s="9"/>
    </row>
    <row r="70" spans="1:13" x14ac:dyDescent="0.25">
      <c r="A70" s="10"/>
      <c r="B70" s="31"/>
      <c r="C70" s="31"/>
      <c r="D70" s="53"/>
      <c r="E70" s="33"/>
      <c r="F70" s="2"/>
      <c r="H70" s="2"/>
      <c r="J70" s="34"/>
      <c r="K70" s="35"/>
      <c r="M70" s="9"/>
    </row>
    <row r="71" spans="1:13" x14ac:dyDescent="0.25">
      <c r="A71" s="10"/>
      <c r="B71" s="31"/>
      <c r="C71" s="31"/>
      <c r="D71" s="53"/>
      <c r="E71" s="33"/>
      <c r="F71" s="2"/>
      <c r="H71" s="2"/>
      <c r="J71" s="34"/>
      <c r="K71" s="35"/>
      <c r="M71" s="9"/>
    </row>
    <row r="72" spans="1:13" x14ac:dyDescent="0.25">
      <c r="A72" s="10"/>
      <c r="B72" s="31"/>
      <c r="C72" s="31"/>
      <c r="D72" s="53"/>
      <c r="E72" s="33"/>
      <c r="F72" s="2"/>
      <c r="H72" s="2"/>
      <c r="J72" s="34"/>
      <c r="K72" s="35"/>
      <c r="M72" s="9"/>
    </row>
    <row r="73" spans="1:13" x14ac:dyDescent="0.25">
      <c r="A73" s="10"/>
      <c r="B73" s="31"/>
      <c r="C73" s="31"/>
      <c r="D73" s="53"/>
      <c r="E73" s="33"/>
      <c r="F73" s="2"/>
      <c r="H73" s="2"/>
      <c r="J73" s="34"/>
      <c r="K73" s="35"/>
      <c r="M73" s="9"/>
    </row>
    <row r="74" spans="1:13" x14ac:dyDescent="0.25">
      <c r="A74" s="10"/>
      <c r="B74" s="31"/>
      <c r="C74" s="31"/>
      <c r="D74" s="53"/>
      <c r="E74" s="33"/>
      <c r="F74" s="2"/>
      <c r="H74" s="2"/>
      <c r="J74" s="34"/>
      <c r="K74" s="35"/>
      <c r="M74" s="9"/>
    </row>
    <row r="75" spans="1:13" x14ac:dyDescent="0.25">
      <c r="A75" s="10"/>
      <c r="B75" s="31"/>
      <c r="C75" s="31"/>
      <c r="D75" s="53"/>
      <c r="E75" s="33"/>
      <c r="F75" s="2"/>
      <c r="H75" s="2"/>
      <c r="J75" s="34"/>
      <c r="K75" s="35"/>
      <c r="M75" s="9"/>
    </row>
    <row r="76" spans="1:13" x14ac:dyDescent="0.25">
      <c r="A76" s="10"/>
      <c r="B76" s="31"/>
      <c r="C76" s="31"/>
      <c r="D76" s="53"/>
      <c r="E76" s="33"/>
      <c r="F76" s="2"/>
      <c r="H76" s="2"/>
      <c r="J76" s="34"/>
      <c r="K76" s="35"/>
      <c r="M76" s="9"/>
    </row>
    <row r="77" spans="1:13" x14ac:dyDescent="0.25">
      <c r="A77" s="10"/>
      <c r="B77" s="31"/>
      <c r="C77" s="31"/>
      <c r="D77" s="53"/>
      <c r="E77" s="33"/>
      <c r="F77" s="2"/>
      <c r="H77" s="2"/>
      <c r="J77" s="34"/>
      <c r="K77" s="35"/>
      <c r="M77" s="9"/>
    </row>
    <row r="78" spans="1:13" x14ac:dyDescent="0.25">
      <c r="A78" s="10"/>
      <c r="B78" s="31"/>
      <c r="C78" s="31"/>
      <c r="D78" s="53"/>
      <c r="E78" s="33"/>
      <c r="F78" s="2"/>
      <c r="H78" s="2"/>
      <c r="J78" s="34"/>
      <c r="K78" s="35"/>
      <c r="M78" s="9"/>
    </row>
    <row r="79" spans="1:13" x14ac:dyDescent="0.25">
      <c r="A79" s="10"/>
      <c r="B79" s="10"/>
      <c r="C79" s="10"/>
      <c r="D79" s="16"/>
      <c r="E79" s="10"/>
      <c r="F79" s="10"/>
      <c r="G79" s="50"/>
      <c r="H79" s="6"/>
      <c r="I79" s="6"/>
      <c r="J79" s="51"/>
      <c r="K79" s="52"/>
      <c r="L79" s="9"/>
      <c r="M79" s="9"/>
    </row>
  </sheetData>
  <mergeCells count="1">
    <mergeCell ref="G20:K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6211-260A-4C6A-9AB8-ED215616420D}">
  <sheetPr>
    <pageSetUpPr fitToPage="1"/>
  </sheetPr>
  <dimension ref="A1:M64"/>
  <sheetViews>
    <sheetView showGridLines="0" showRowColHeaders="0" zoomScale="85" zoomScaleNormal="85" workbookViewId="0">
      <selection activeCell="T30" sqref="T30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53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18" t="s">
        <v>0</v>
      </c>
      <c r="D3" s="70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58" t="s">
        <v>1</v>
      </c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18" t="s">
        <v>2</v>
      </c>
      <c r="D5" s="14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58" t="s">
        <v>648</v>
      </c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18" t="s">
        <v>3</v>
      </c>
      <c r="D7" s="14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1"/>
      <c r="D8" s="58" t="s">
        <v>788</v>
      </c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58" t="s">
        <v>789</v>
      </c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18" t="s">
        <v>4</v>
      </c>
      <c r="D10" s="14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37"/>
      <c r="D11" s="93" t="s">
        <v>651</v>
      </c>
      <c r="E11" s="36"/>
      <c r="F11" s="8"/>
      <c r="G11" s="22"/>
      <c r="H11" s="8"/>
      <c r="J11" s="34"/>
      <c r="K11" s="35"/>
      <c r="M11" s="9"/>
    </row>
    <row r="12" spans="1:13" ht="27.6" customHeight="1" x14ac:dyDescent="0.25">
      <c r="A12" s="10"/>
      <c r="B12" s="31"/>
      <c r="C12" s="37"/>
      <c r="D12" s="93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18" t="s">
        <v>5</v>
      </c>
      <c r="D13" s="14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93" t="s">
        <v>646</v>
      </c>
      <c r="E14" s="36"/>
      <c r="F14" s="8"/>
      <c r="G14" s="22"/>
      <c r="H14" s="8"/>
      <c r="J14" s="34"/>
      <c r="K14" s="35"/>
      <c r="M14" s="9"/>
    </row>
    <row r="15" spans="1:13" x14ac:dyDescent="0.25">
      <c r="A15" s="10"/>
      <c r="B15" s="31"/>
      <c r="C15" s="31"/>
      <c r="D15" s="93"/>
      <c r="E15" s="36"/>
      <c r="F15" s="8"/>
      <c r="G15" s="22"/>
      <c r="H15" s="8"/>
      <c r="J15" s="34"/>
      <c r="K15" s="35"/>
      <c r="M15" s="9"/>
    </row>
    <row r="16" spans="1:13" x14ac:dyDescent="0.25">
      <c r="A16" s="10"/>
      <c r="B16" s="31"/>
      <c r="C16" s="18" t="s">
        <v>6</v>
      </c>
      <c r="D16" s="14"/>
      <c r="E16" s="36"/>
      <c r="F16" s="8"/>
      <c r="G16" s="22"/>
      <c r="H16" s="8"/>
      <c r="J16" s="34"/>
      <c r="K16" s="35"/>
      <c r="M16" s="9"/>
    </row>
    <row r="17" spans="1:13" x14ac:dyDescent="0.25">
      <c r="A17" s="10"/>
      <c r="B17" s="31"/>
      <c r="C17" s="31"/>
      <c r="D17" s="93" t="s">
        <v>645</v>
      </c>
      <c r="E17" s="36"/>
      <c r="F17" s="8"/>
      <c r="G17" s="22"/>
      <c r="H17" s="8"/>
      <c r="J17" s="34"/>
      <c r="K17" s="35"/>
      <c r="M17" s="9"/>
    </row>
    <row r="18" spans="1:13" x14ac:dyDescent="0.25">
      <c r="A18" s="10"/>
      <c r="B18" s="31"/>
      <c r="C18" s="31"/>
      <c r="D18" s="93"/>
      <c r="E18" s="36"/>
      <c r="F18" s="8"/>
      <c r="G18" s="22"/>
      <c r="H18" s="8"/>
      <c r="J18" s="34"/>
      <c r="K18" s="35"/>
      <c r="M18" s="9"/>
    </row>
    <row r="19" spans="1:13" ht="13.5" thickBot="1" x14ac:dyDescent="0.3">
      <c r="A19" s="10"/>
      <c r="B19" s="31"/>
      <c r="C19" s="18" t="s">
        <v>7</v>
      </c>
      <c r="D19" s="14"/>
      <c r="E19" s="36"/>
      <c r="F19" s="8"/>
      <c r="G19" s="22"/>
      <c r="H19" s="8"/>
      <c r="J19" s="34"/>
      <c r="K19" s="35"/>
      <c r="M19" s="9"/>
    </row>
    <row r="20" spans="1:13" ht="14.45" customHeight="1" thickBot="1" x14ac:dyDescent="0.3">
      <c r="A20" s="10"/>
      <c r="B20" s="31"/>
      <c r="C20" s="31"/>
      <c r="D20" s="94" t="s">
        <v>791</v>
      </c>
      <c r="E20" s="58"/>
      <c r="F20" s="8"/>
      <c r="G20" s="90" t="s">
        <v>644</v>
      </c>
      <c r="H20" s="91"/>
      <c r="I20" s="91"/>
      <c r="J20" s="91"/>
      <c r="K20" s="92"/>
      <c r="M20" s="9"/>
    </row>
    <row r="21" spans="1:13" ht="15" customHeight="1" thickBot="1" x14ac:dyDescent="0.3">
      <c r="A21" s="10"/>
      <c r="B21" s="31"/>
      <c r="C21" s="31"/>
      <c r="D21" s="95"/>
      <c r="E21" s="71"/>
      <c r="F21" s="8"/>
      <c r="G21" s="22"/>
      <c r="H21" s="8"/>
      <c r="J21" s="34"/>
      <c r="K21" s="35"/>
      <c r="M21" s="9"/>
    </row>
    <row r="22" spans="1:13" ht="13.5" thickBot="1" x14ac:dyDescent="0.3">
      <c r="A22" s="10"/>
      <c r="B22" s="31"/>
      <c r="C22" s="39" t="s">
        <v>48</v>
      </c>
      <c r="D22" s="60"/>
      <c r="E22" s="40"/>
      <c r="F22" s="55"/>
      <c r="G22" s="41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3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3" s="13" customFormat="1" ht="14.45" customHeight="1" x14ac:dyDescent="0.25">
      <c r="A24" s="16"/>
      <c r="B24" s="37"/>
      <c r="C24" s="37"/>
      <c r="D24" s="53" t="s">
        <v>488</v>
      </c>
      <c r="E24" s="54"/>
      <c r="F24" s="17"/>
      <c r="G24" s="17" t="str">
        <f>IFERROR(VLOOKUP($D24,'Master Sheet'!$B:$AA,3,FALSE),"")</f>
        <v>Nikon Z9 Mirrorless Digital Camera Body</v>
      </c>
      <c r="H24" s="17"/>
      <c r="I24" s="17" t="str">
        <f>IFERROR(VLOOKUP($D24,'Master Sheet'!$B:$AA,2,FALSE),"")</f>
        <v>VOA080AM</v>
      </c>
      <c r="J24" s="44" t="str">
        <f>IFERROR(VLOOKUP($D24,'Master Sheet'!$B:$AA,5,FALSE),"")</f>
        <v>4960759912282</v>
      </c>
      <c r="K24" s="45">
        <f>IFERROR(VLOOKUP($D24,'Master Sheet'!$B:$AA,8,FALSE),"")</f>
        <v>97829.955000000002</v>
      </c>
      <c r="M24" s="14"/>
    </row>
    <row r="25" spans="1:13" s="13" customFormat="1" ht="15" customHeight="1" thickBot="1" x14ac:dyDescent="0.3">
      <c r="A25" s="16"/>
      <c r="B25" s="37"/>
      <c r="C25" s="37"/>
      <c r="D25" s="53"/>
      <c r="E25" s="54"/>
      <c r="F25" s="17"/>
      <c r="G25" s="17" t="str">
        <f>IFERROR(VLOOKUP($D25,'Master Sheet'!$B:$AA,3,FALSE),"")</f>
        <v/>
      </c>
      <c r="H25" s="17"/>
      <c r="I25" s="17" t="str">
        <f>IFERROR(VLOOKUP($D25,'Master Sheet'!$B:$AA,2,FALSE),"")</f>
        <v/>
      </c>
      <c r="J25" s="44" t="str">
        <f>IFERROR(VLOOKUP($D25,'Master Sheet'!$B:$AA,5,FALSE),"")</f>
        <v/>
      </c>
      <c r="K25" s="45" t="str">
        <f>IFERROR(VLOOKUP($D25,'Master Sheet'!$B:$AA,8,FALSE),"")</f>
        <v/>
      </c>
      <c r="M25" s="14"/>
    </row>
    <row r="26" spans="1:13" ht="15" customHeight="1" thickBot="1" x14ac:dyDescent="0.3">
      <c r="A26" s="10"/>
      <c r="B26" s="31"/>
      <c r="C26" s="46" t="s">
        <v>31</v>
      </c>
      <c r="D26" s="49"/>
      <c r="E26" s="48"/>
      <c r="F26" s="47"/>
      <c r="G26" s="49"/>
      <c r="H26" s="47"/>
      <c r="I26" s="47"/>
      <c r="J26" s="61"/>
      <c r="K26" s="62"/>
      <c r="M26" s="9"/>
    </row>
    <row r="27" spans="1:13" ht="14.45" customHeight="1" x14ac:dyDescent="0.25">
      <c r="A27" s="10"/>
      <c r="B27" s="31"/>
      <c r="C27" s="31"/>
      <c r="D27" s="53" t="s">
        <v>435</v>
      </c>
      <c r="E27" s="33"/>
      <c r="F27" s="2"/>
      <c r="G27" s="17" t="str">
        <f>IFERROR(VLOOKUP($D27,'Master Sheet'!$B:$AA,3,FALSE),"")</f>
        <v>BF-N1 Body Cap (Z-Series)</v>
      </c>
      <c r="H27" s="2"/>
      <c r="I27" s="2" t="str">
        <f>IFERROR(VLOOKUP($D27,'Master Sheet'!$B:$AA,2,FALSE),"")</f>
        <v>VOD00101</v>
      </c>
      <c r="J27" s="34" t="str">
        <f>IFERROR(VLOOKUP($D27,'Master Sheet'!$B:$AA,5,FALSE),"")</f>
        <v>4960759901002</v>
      </c>
      <c r="K27" s="35">
        <f>IFERROR(VLOOKUP($D27,'Master Sheet'!$B:$AA,8,FALSE),"")</f>
        <v>116.955</v>
      </c>
      <c r="M27" s="9"/>
    </row>
    <row r="28" spans="1:13" ht="15" customHeight="1" thickBot="1" x14ac:dyDescent="0.3">
      <c r="A28" s="10"/>
      <c r="B28" s="31"/>
      <c r="C28" s="31"/>
      <c r="D28" s="53"/>
      <c r="E28" s="33"/>
      <c r="F28" s="2"/>
      <c r="H28" s="2"/>
      <c r="J28" s="34"/>
      <c r="K28" s="35"/>
      <c r="M28" s="9"/>
    </row>
    <row r="29" spans="1:13" ht="15" customHeight="1" thickBot="1" x14ac:dyDescent="0.3">
      <c r="A29" s="10"/>
      <c r="B29" s="31"/>
      <c r="C29" s="46" t="s">
        <v>641</v>
      </c>
      <c r="D29" s="49"/>
      <c r="E29" s="48"/>
      <c r="F29" s="47"/>
      <c r="G29" s="49"/>
      <c r="H29" s="47"/>
      <c r="I29" s="47"/>
      <c r="J29" s="61"/>
      <c r="K29" s="62"/>
      <c r="M29" s="9"/>
    </row>
    <row r="30" spans="1:13" ht="14.45" customHeight="1" x14ac:dyDescent="0.25">
      <c r="A30" s="10"/>
      <c r="B30" s="31"/>
      <c r="C30" s="31"/>
      <c r="D30" s="53" t="s">
        <v>481</v>
      </c>
      <c r="E30" s="33"/>
      <c r="F30" s="2"/>
      <c r="G30" s="17" t="str">
        <f>IFERROR(VLOOKUP($D30,'Master Sheet'!$B:$AA,3,FALSE),"")</f>
        <v>FTZ II Mount Adapter</v>
      </c>
      <c r="H30" s="2"/>
      <c r="I30" s="2" t="str">
        <f>IFERROR(VLOOKUP($D30,'Master Sheet'!$B:$AA,2,FALSE),"")</f>
        <v>JMA905DA</v>
      </c>
      <c r="J30" s="34" t="str">
        <f>IFERROR(VLOOKUP($D30,'Master Sheet'!$B:$AA,5,FALSE),"")</f>
        <v>018208042647</v>
      </c>
      <c r="K30" s="35">
        <f>IFERROR(VLOOKUP($D30,'Master Sheet'!$B:$AA,8,FALSE),"")</f>
        <v>4049.9549999999999</v>
      </c>
      <c r="M30" s="9"/>
    </row>
    <row r="31" spans="1:13" ht="15" customHeight="1" thickBot="1" x14ac:dyDescent="0.3">
      <c r="A31" s="10"/>
      <c r="B31" s="31"/>
      <c r="C31" s="31"/>
      <c r="D31" s="53"/>
      <c r="E31" s="33"/>
      <c r="F31" s="2"/>
      <c r="G31" s="17" t="str">
        <f>IFERROR(VLOOKUP($D31,'Master Sheet'!$B:$AA,3,FALSE),"")</f>
        <v/>
      </c>
      <c r="H31" s="2"/>
      <c r="I31" s="2" t="str">
        <f>IFERROR(VLOOKUP($D31,'Master Sheet'!$B:$AA,2,FALSE),"")</f>
        <v/>
      </c>
      <c r="J31" s="34" t="str">
        <f>IFERROR(VLOOKUP($D31,'Master Sheet'!$B:$AA,5,FALSE),"")</f>
        <v/>
      </c>
      <c r="K31" s="35" t="str">
        <f>IFERROR(VLOOKUP($D31,'Master Sheet'!$B:$AA,8,FALSE),"")</f>
        <v/>
      </c>
      <c r="M31" s="9"/>
    </row>
    <row r="32" spans="1:13" ht="15" customHeight="1" thickBot="1" x14ac:dyDescent="0.3">
      <c r="A32" s="10"/>
      <c r="B32" s="31"/>
      <c r="C32" s="46" t="s">
        <v>8</v>
      </c>
      <c r="D32" s="49"/>
      <c r="E32" s="48"/>
      <c r="F32" s="47"/>
      <c r="G32" s="49"/>
      <c r="H32" s="47"/>
      <c r="I32" s="47"/>
      <c r="J32" s="61"/>
      <c r="K32" s="62"/>
      <c r="M32" s="9"/>
    </row>
    <row r="33" spans="1:13" ht="14.45" customHeight="1" x14ac:dyDescent="0.25">
      <c r="A33" s="10"/>
      <c r="B33" s="31"/>
      <c r="C33" s="31"/>
      <c r="D33" s="53"/>
      <c r="E33" s="33"/>
      <c r="F33" s="2"/>
      <c r="G33" s="17" t="s">
        <v>649</v>
      </c>
      <c r="H33" s="2"/>
      <c r="I33" s="2" t="str">
        <f>IFERROR(VLOOKUP($D33,'Master Sheet'!$B:$AA,2,FALSE),"")</f>
        <v/>
      </c>
      <c r="J33" s="34" t="str">
        <f>IFERROR(VLOOKUP($D33,'Master Sheet'!$B:$AA,5,FALSE),"")</f>
        <v/>
      </c>
      <c r="K33" s="35" t="str">
        <f>IFERROR(VLOOKUP($D33,'Master Sheet'!$B:$AA,8,FALSE),"")</f>
        <v/>
      </c>
      <c r="M33" s="9"/>
    </row>
    <row r="34" spans="1:13" ht="15" customHeight="1" thickBot="1" x14ac:dyDescent="0.3">
      <c r="A34" s="10"/>
      <c r="B34" s="31"/>
      <c r="C34" s="31"/>
      <c r="D34" s="53"/>
      <c r="E34" s="33"/>
      <c r="F34" s="2"/>
      <c r="G34" s="17" t="str">
        <f>IFERROR(VLOOKUP($D34,'Master Sheet'!$B:$AA,3,FALSE),"")</f>
        <v/>
      </c>
      <c r="H34" s="2"/>
      <c r="I34" s="2" t="str">
        <f>IFERROR(VLOOKUP($D34,'Master Sheet'!$B:$AA,2,FALSE),"")</f>
        <v/>
      </c>
      <c r="J34" s="34" t="str">
        <f>IFERROR(VLOOKUP($D34,'Master Sheet'!$B:$AA,5,FALSE),"")</f>
        <v/>
      </c>
      <c r="K34" s="35" t="str">
        <f>IFERROR(VLOOKUP($D34,'Master Sheet'!$B:$AA,8,FALSE),"")</f>
        <v/>
      </c>
      <c r="M34" s="9"/>
    </row>
    <row r="35" spans="1:13" ht="15" customHeight="1" thickBot="1" x14ac:dyDescent="0.3">
      <c r="A35" s="10"/>
      <c r="B35" s="31"/>
      <c r="C35" s="46" t="s">
        <v>9</v>
      </c>
      <c r="D35" s="49"/>
      <c r="E35" s="48"/>
      <c r="F35" s="47"/>
      <c r="G35" s="49"/>
      <c r="H35" s="47"/>
      <c r="I35" s="47"/>
      <c r="J35" s="61"/>
      <c r="K35" s="62"/>
      <c r="M35" s="9"/>
    </row>
    <row r="36" spans="1:13" ht="14.45" customHeight="1" x14ac:dyDescent="0.25">
      <c r="A36" s="10"/>
      <c r="B36" s="31"/>
      <c r="C36" s="31"/>
      <c r="D36" s="53"/>
      <c r="E36" s="33"/>
      <c r="F36" s="2"/>
      <c r="G36" s="17" t="s">
        <v>650</v>
      </c>
      <c r="H36" s="2"/>
      <c r="I36" s="2" t="str">
        <f>IFERROR(VLOOKUP($D36,'Master Sheet'!$B:$AA,2,FALSE),"")</f>
        <v/>
      </c>
      <c r="J36" s="34" t="str">
        <f>IFERROR(VLOOKUP($D36,'Master Sheet'!$B:$AA,5,FALSE),"")</f>
        <v/>
      </c>
      <c r="K36" s="35" t="str">
        <f>IFERROR(VLOOKUP($D36,'Master Sheet'!$B:$AA,8,FALSE),"")</f>
        <v/>
      </c>
      <c r="M36" s="9"/>
    </row>
    <row r="37" spans="1:13" ht="15" customHeight="1" thickBot="1" x14ac:dyDescent="0.3">
      <c r="A37" s="10"/>
      <c r="B37" s="31"/>
      <c r="C37" s="31"/>
      <c r="D37" s="53"/>
      <c r="E37" s="33"/>
      <c r="F37" s="2"/>
      <c r="G37" s="17" t="str">
        <f>IFERROR(VLOOKUP($D37,'Master Sheet'!$B:$AA,3,FALSE),"")</f>
        <v/>
      </c>
      <c r="H37" s="2"/>
      <c r="I37" s="2" t="str">
        <f>IFERROR(VLOOKUP($D37,'Master Sheet'!$B:$AA,2,FALSE),"")</f>
        <v/>
      </c>
      <c r="J37" s="34" t="str">
        <f>IFERROR(VLOOKUP($D37,'Master Sheet'!$B:$AA,5,FALSE),"")</f>
        <v/>
      </c>
      <c r="K37" s="35" t="str">
        <f>IFERROR(VLOOKUP($D37,'Master Sheet'!$B:$AA,8,FALSE),"")</f>
        <v/>
      </c>
      <c r="M37" s="9"/>
    </row>
    <row r="38" spans="1:13" ht="15" customHeight="1" thickBot="1" x14ac:dyDescent="0.3">
      <c r="A38" s="10"/>
      <c r="B38" s="31"/>
      <c r="C38" s="46" t="s">
        <v>23</v>
      </c>
      <c r="D38" s="49"/>
      <c r="E38" s="48"/>
      <c r="F38" s="47"/>
      <c r="G38" s="49"/>
      <c r="H38" s="47"/>
      <c r="I38" s="47"/>
      <c r="J38" s="61"/>
      <c r="K38" s="62"/>
      <c r="M38" s="9"/>
    </row>
    <row r="39" spans="1:13" ht="14.45" customHeight="1" x14ac:dyDescent="0.25">
      <c r="A39" s="10"/>
      <c r="B39" s="31"/>
      <c r="C39" s="31"/>
      <c r="D39" s="53" t="s">
        <v>798</v>
      </c>
      <c r="E39" s="33"/>
      <c r="F39" s="2"/>
      <c r="G39" s="17" t="str">
        <f>IFERROR(VLOOKUP($D39,'Master Sheet'!$B:$AA,3,FALSE),"")</f>
        <v>BL-7-BATTERY CHAMBER COVER</v>
      </c>
      <c r="H39" s="2"/>
      <c r="I39" s="2" t="str">
        <f>IFERROR(VLOOKUP($D39,'Master Sheet'!$B:$AA,2,FALSE),"")</f>
        <v>VFD10401</v>
      </c>
      <c r="J39" s="34" t="str">
        <f>IFERROR(VLOOKUP($D39,'Master Sheet'!$B:$AA,5,FALSE),"")</f>
        <v>018208272235</v>
      </c>
      <c r="K39" s="35">
        <f>IFERROR(VLOOKUP($D39,'Master Sheet'!$B:$AA,8,FALSE),"")</f>
        <v>638.95500000000004</v>
      </c>
      <c r="M39" s="9"/>
    </row>
    <row r="40" spans="1:13" ht="14.45" customHeight="1" x14ac:dyDescent="0.25">
      <c r="A40" s="10"/>
      <c r="B40" s="31"/>
      <c r="C40" s="31"/>
      <c r="D40" s="53" t="s">
        <v>476</v>
      </c>
      <c r="E40" s="33"/>
      <c r="F40" s="2"/>
      <c r="G40" s="17" t="str">
        <f>IFERROR(VLOOKUP($D40,'Master Sheet'!$B:$AA,3,FALSE),"")</f>
        <v>EN-EL18D RECHARGEABLE LI-ION BATTERY</v>
      </c>
      <c r="H40" s="2"/>
      <c r="I40" s="2" t="str">
        <f>IFERROR(VLOOKUP($D40,'Master Sheet'!$B:$AA,2,FALSE),"")</f>
        <v>VFB12902</v>
      </c>
      <c r="J40" s="34" t="str">
        <f>IFERROR(VLOOKUP($D40,'Master Sheet'!$B:$AA,5,FALSE),"")</f>
        <v>4960759909220</v>
      </c>
      <c r="K40" s="35">
        <f>IFERROR(VLOOKUP($D40,'Master Sheet'!$B:$AA,8,FALSE),"")</f>
        <v>4859.9549999999999</v>
      </c>
      <c r="M40" s="9"/>
    </row>
    <row r="41" spans="1:13" ht="14.45" customHeight="1" x14ac:dyDescent="0.25">
      <c r="A41" s="10"/>
      <c r="B41" s="31"/>
      <c r="C41" s="31"/>
      <c r="D41" s="53" t="s">
        <v>561</v>
      </c>
      <c r="E41" s="33"/>
      <c r="F41" s="2"/>
      <c r="G41" s="17" t="str">
        <f>IFERROR(VLOOKUP($D41,'Master Sheet'!$B:$AA,3,FALSE),"")</f>
        <v>MH-33 BATTERY CHARGER - EN-EL18D Battery</v>
      </c>
      <c r="H41" s="2"/>
      <c r="I41" s="2" t="str">
        <f>IFERROR(VLOOKUP($D41,'Master Sheet'!$B:$AA,2,FALSE),"")</f>
        <v>VEA02502</v>
      </c>
      <c r="J41" s="34" t="str">
        <f>IFERROR(VLOOKUP($D41,'Master Sheet'!$B:$AA,5,FALSE),"")</f>
        <v>4960759909404</v>
      </c>
      <c r="K41" s="35">
        <f>IFERROR(VLOOKUP($D41,'Master Sheet'!$B:$AA,8,FALSE),"")</f>
        <v>2240.9549999999999</v>
      </c>
      <c r="M41" s="9"/>
    </row>
    <row r="42" spans="1:13" ht="14.45" customHeight="1" x14ac:dyDescent="0.25">
      <c r="A42" s="10"/>
      <c r="B42" s="31"/>
      <c r="C42" s="31"/>
      <c r="D42" s="53" t="s">
        <v>477</v>
      </c>
      <c r="E42" s="33"/>
      <c r="F42" s="2"/>
      <c r="G42" s="17" t="str">
        <f>IFERROR(VLOOKUP($D42,'Master Sheet'!$B:$AA,3,FALSE),"")</f>
        <v>AC ADAPTER EH-6D</v>
      </c>
      <c r="H42" s="2"/>
      <c r="I42" s="2" t="str">
        <f>IFERROR(VLOOKUP($D42,'Master Sheet'!$B:$AA,2,FALSE),"")</f>
        <v>VEB036EA</v>
      </c>
      <c r="J42" s="34" t="str">
        <f>IFERROR(VLOOKUP($D42,'Master Sheet'!$B:$AA,5,FALSE),"")</f>
        <v>4960759909183</v>
      </c>
      <c r="K42" s="35">
        <f>IFERROR(VLOOKUP($D42,'Master Sheet'!$B:$AA,8,FALSE),"")</f>
        <v>4715.9549999999999</v>
      </c>
      <c r="M42" s="9"/>
    </row>
    <row r="43" spans="1:13" ht="14.45" customHeight="1" x14ac:dyDescent="0.25">
      <c r="A43" s="10"/>
      <c r="B43" s="31"/>
      <c r="C43" s="31"/>
      <c r="D43" s="53" t="s">
        <v>478</v>
      </c>
      <c r="E43" s="33"/>
      <c r="F43" s="2"/>
      <c r="G43" s="17" t="str">
        <f>IFERROR(VLOOKUP($D43,'Master Sheet'!$B:$AA,3,FALSE),"")</f>
        <v>EP-6A POWER SUPPLY CONNECTOR - Z9</v>
      </c>
      <c r="H43" s="2"/>
      <c r="I43" s="2" t="str">
        <f>IFERROR(VLOOKUP($D43,'Master Sheet'!$B:$AA,2,FALSE),"")</f>
        <v>VEB03501</v>
      </c>
      <c r="J43" s="34" t="str">
        <f>IFERROR(VLOOKUP($D43,'Master Sheet'!$B:$AA,5,FALSE),"")</f>
        <v>No Barcode</v>
      </c>
      <c r="K43" s="35">
        <f>IFERROR(VLOOKUP($D43,'Master Sheet'!$B:$AA,8,FALSE),"")</f>
        <v>6740.9549999999999</v>
      </c>
      <c r="M43" s="9"/>
    </row>
    <row r="44" spans="1:13" ht="14.45" customHeight="1" x14ac:dyDescent="0.25">
      <c r="A44" s="10"/>
      <c r="B44" s="31"/>
      <c r="C44" s="31"/>
      <c r="D44" s="53" t="s">
        <v>690</v>
      </c>
      <c r="E44" s="33"/>
      <c r="F44" s="2"/>
      <c r="G44" s="17" t="str">
        <f>IFERROR(VLOOKUP($D44,'Master Sheet'!$B:$AA,3,FALSE),"")</f>
        <v>Charging AC Adapter EH-7P</v>
      </c>
      <c r="H44" s="2"/>
      <c r="I44" s="2" t="str">
        <f>IFERROR(VLOOKUP($D44,'Master Sheet'!$B:$AA,2,FALSE),"")</f>
        <v>VEB029BA</v>
      </c>
      <c r="J44" s="34" t="str">
        <f>IFERROR(VLOOKUP($D44,'Master Sheet'!$B:$AA,5,FALSE),"")</f>
        <v>4960759901958</v>
      </c>
      <c r="K44" s="35">
        <f>IFERROR(VLOOKUP($D44,'Master Sheet'!$B:$AA,8,FALSE),"")</f>
        <v>917.95500000000004</v>
      </c>
      <c r="M44" s="9"/>
    </row>
    <row r="45" spans="1:13" ht="15" customHeight="1" thickBot="1" x14ac:dyDescent="0.3">
      <c r="A45" s="10"/>
      <c r="B45" s="31"/>
      <c r="C45" s="31"/>
      <c r="D45" s="53"/>
      <c r="E45" s="33"/>
      <c r="F45" s="2"/>
      <c r="G45" s="17" t="str">
        <f>IFERROR(VLOOKUP($D45,'Master Sheet'!$B:$AA,3,FALSE),"")</f>
        <v/>
      </c>
      <c r="H45" s="2"/>
      <c r="I45" s="2" t="str">
        <f>IFERROR(VLOOKUP($D45,'Master Sheet'!$B:$AA,2,FALSE),"")</f>
        <v/>
      </c>
      <c r="J45" s="34" t="str">
        <f>IFERROR(VLOOKUP($D45,'Master Sheet'!$B:$AA,5,FALSE),"")</f>
        <v/>
      </c>
      <c r="K45" s="35" t="str">
        <f>IFERROR(VLOOKUP($D45,'Master Sheet'!$B:$AA,8,FALSE),"")</f>
        <v/>
      </c>
      <c r="M45" s="9"/>
    </row>
    <row r="46" spans="1:13" ht="15" customHeight="1" thickBot="1" x14ac:dyDescent="0.3">
      <c r="A46" s="10"/>
      <c r="B46" s="31"/>
      <c r="C46" s="46" t="s">
        <v>29</v>
      </c>
      <c r="D46" s="49"/>
      <c r="E46" s="48"/>
      <c r="F46" s="47"/>
      <c r="G46" s="49"/>
      <c r="H46" s="47"/>
      <c r="I46" s="47"/>
      <c r="J46" s="61"/>
      <c r="K46" s="62"/>
      <c r="M46" s="9"/>
    </row>
    <row r="47" spans="1:13" ht="14.45" customHeight="1" x14ac:dyDescent="0.25">
      <c r="A47" s="10"/>
      <c r="B47" s="31"/>
      <c r="C47" s="31"/>
      <c r="D47" s="53" t="s">
        <v>479</v>
      </c>
      <c r="E47" s="33"/>
      <c r="F47" s="2"/>
      <c r="G47" s="17" t="str">
        <f>IFERROR(VLOOKUP($D47,'Master Sheet'!$B:$AA,3,FALSE),"")</f>
        <v>MC-30A REMOTE CORD - D4/D4S/D800/E</v>
      </c>
      <c r="H47" s="2"/>
      <c r="I47" s="2" t="str">
        <f>IFERROR(VLOOKUP($D47,'Master Sheet'!$B:$AA,2,FALSE),"")</f>
        <v>VDR00601</v>
      </c>
      <c r="J47" s="34" t="str">
        <f>IFERROR(VLOOKUP($D47,'Master Sheet'!$B:$AA,5,FALSE),"")</f>
        <v>018208046607</v>
      </c>
      <c r="K47" s="35">
        <f>IFERROR(VLOOKUP($D47,'Master Sheet'!$B:$AA,8,FALSE),"")</f>
        <v>1493.9550000000002</v>
      </c>
      <c r="M47" s="9"/>
    </row>
    <row r="48" spans="1:13" ht="13.9" customHeight="1" x14ac:dyDescent="0.25">
      <c r="A48" s="10"/>
      <c r="B48" s="31"/>
      <c r="C48" s="31"/>
      <c r="D48" s="53" t="s">
        <v>34</v>
      </c>
      <c r="E48" s="33"/>
      <c r="F48" s="2"/>
      <c r="G48" s="17" t="str">
        <f>IFERROR(VLOOKUP($D48,'Master Sheet'!$B:$AA,3,FALSE),"")</f>
        <v>MC-36A REMOTE CORD - D4/D4S/D800/E</v>
      </c>
      <c r="H48" s="2"/>
      <c r="I48" s="2" t="str">
        <f>IFERROR(VLOOKUP($D48,'Master Sheet'!$B:$AA,2,FALSE),"")</f>
        <v>VDR00801</v>
      </c>
      <c r="J48" s="34" t="str">
        <f>IFERROR(VLOOKUP($D48,'Master Sheet'!$B:$AA,5,FALSE),"")</f>
        <v>018208270323</v>
      </c>
      <c r="K48" s="35">
        <f>IFERROR(VLOOKUP($D48,'Master Sheet'!$B:$AA,8,FALSE),"")</f>
        <v>3914.9549999999999</v>
      </c>
      <c r="M48" s="9"/>
    </row>
    <row r="49" spans="1:13" ht="14.45" customHeight="1" x14ac:dyDescent="0.25">
      <c r="A49" s="10"/>
      <c r="B49" s="31"/>
      <c r="C49" s="31"/>
      <c r="D49" s="53" t="s">
        <v>480</v>
      </c>
      <c r="E49" s="33"/>
      <c r="F49" s="2"/>
      <c r="G49" s="17" t="str">
        <f>IFERROR(VLOOKUP($D49,'Master Sheet'!$B:$AA,3,FALSE),"")</f>
        <v>WR-R11A WIRELESS REMOTE CONTROLLER</v>
      </c>
      <c r="H49" s="2"/>
      <c r="I49" s="2" t="str">
        <f>IFERROR(VLOOKUP($D49,'Master Sheet'!$B:$AA,2,FALSE),"")</f>
        <v>VBJ005CG</v>
      </c>
      <c r="J49" s="34" t="str">
        <f>IFERROR(VLOOKUP($D49,'Master Sheet'!$B:$AA,5,FALSE),"")</f>
        <v>4960759905192</v>
      </c>
      <c r="K49" s="35">
        <f>IFERROR(VLOOKUP($D49,'Master Sheet'!$B:$AA,8,FALSE),"")</f>
        <v>3365.9549999999999</v>
      </c>
      <c r="M49" s="9"/>
    </row>
    <row r="50" spans="1:13" ht="14.45" customHeight="1" x14ac:dyDescent="0.25">
      <c r="A50" s="10"/>
      <c r="B50" s="31"/>
      <c r="C50" s="31"/>
      <c r="D50" s="53" t="s">
        <v>37</v>
      </c>
      <c r="E50" s="33"/>
      <c r="F50" s="2"/>
      <c r="G50" s="17" t="str">
        <f>IFERROR(VLOOKUP($D50,'Master Sheet'!$B:$AA,3,FALSE),"")</f>
        <v>WR-A10 ADAPTER- Required for D4/D4S/D3/D3X/D2XS/D700/D300/D200 to use WR-R10 &amp; WR-T10</v>
      </c>
      <c r="H50" s="2"/>
      <c r="I50" s="2" t="str">
        <f>IFERROR(VLOOKUP($D50,'Master Sheet'!$B:$AA,2,FALSE),"")</f>
        <v>VWD00701</v>
      </c>
      <c r="J50" s="34" t="str">
        <f>IFERROR(VLOOKUP($D50,'Master Sheet'!$B:$AA,5,FALSE),"")</f>
        <v>018208271030</v>
      </c>
      <c r="K50" s="35">
        <f>IFERROR(VLOOKUP($D50,'Master Sheet'!$B:$AA,8,FALSE),"")</f>
        <v>1106.9550000000002</v>
      </c>
      <c r="M50" s="9"/>
    </row>
    <row r="51" spans="1:13" ht="14.45" customHeight="1" x14ac:dyDescent="0.25">
      <c r="A51" s="10"/>
      <c r="B51" s="31"/>
      <c r="C51" s="31"/>
      <c r="D51" s="53" t="s">
        <v>35</v>
      </c>
      <c r="E51" s="33"/>
      <c r="F51" s="2"/>
      <c r="G51" s="17" t="str">
        <f>IFERROR(VLOOKUP($D51,'Master Sheet'!$B:$AA,3,FALSE),"")</f>
        <v xml:space="preserve">WR-T10 WIRELESS REMOTE TRANSMITTER </v>
      </c>
      <c r="H51" s="2"/>
      <c r="I51" s="2" t="str">
        <f>IFERROR(VLOOKUP($D51,'Master Sheet'!$B:$AA,2,FALSE),"")</f>
        <v>VBJ003AE</v>
      </c>
      <c r="J51" s="34" t="str">
        <f>IFERROR(VLOOKUP($D51,'Master Sheet'!$B:$AA,5,FALSE),"")</f>
        <v>018208933525</v>
      </c>
      <c r="K51" s="35">
        <f>IFERROR(VLOOKUP($D51,'Master Sheet'!$B:$AA,8,FALSE),"")</f>
        <v>1475.9550000000002</v>
      </c>
      <c r="M51" s="9"/>
    </row>
    <row r="52" spans="1:13" ht="15" customHeight="1" thickBot="1" x14ac:dyDescent="0.3">
      <c r="A52" s="10"/>
      <c r="B52" s="31"/>
      <c r="C52" s="31"/>
      <c r="D52" s="53"/>
      <c r="E52" s="33"/>
      <c r="F52" s="2"/>
      <c r="G52" s="17" t="str">
        <f>IFERROR(VLOOKUP($D52,'Master Sheet'!$B:$AA,3,FALSE),"")</f>
        <v/>
      </c>
      <c r="H52" s="2"/>
      <c r="I52" s="2" t="str">
        <f>IFERROR(VLOOKUP($D52,'Master Sheet'!$B:$AA,2,FALSE),"")</f>
        <v/>
      </c>
      <c r="J52" s="34" t="str">
        <f>IFERROR(VLOOKUP($D52,'Master Sheet'!$B:$AA,5,FALSE),"")</f>
        <v/>
      </c>
      <c r="K52" s="35" t="str">
        <f>IFERROR(VLOOKUP($D52,'Master Sheet'!$B:$AA,8,FALSE),"")</f>
        <v/>
      </c>
      <c r="M52" s="9"/>
    </row>
    <row r="53" spans="1:13" ht="15" customHeight="1" thickBot="1" x14ac:dyDescent="0.3">
      <c r="A53" s="10"/>
      <c r="B53" s="31"/>
      <c r="C53" s="46" t="s">
        <v>26</v>
      </c>
      <c r="D53" s="49"/>
      <c r="E53" s="48"/>
      <c r="F53" s="47"/>
      <c r="G53" s="49"/>
      <c r="H53" s="47"/>
      <c r="I53" s="47"/>
      <c r="J53" s="61"/>
      <c r="K53" s="62"/>
      <c r="M53" s="9"/>
    </row>
    <row r="54" spans="1:13" ht="14.45" customHeight="1" x14ac:dyDescent="0.25">
      <c r="A54" s="10"/>
      <c r="B54" s="31"/>
      <c r="C54" s="31"/>
      <c r="D54" s="53" t="s">
        <v>27</v>
      </c>
      <c r="E54" s="33"/>
      <c r="F54" s="2"/>
      <c r="G54" s="17" t="str">
        <f>IFERROR(VLOOKUP($D54,'Master Sheet'!$B:$AA,3,FALSE),"")</f>
        <v>ME-1 STEREO MICROPHONE</v>
      </c>
      <c r="H54" s="2"/>
      <c r="I54" s="2" t="str">
        <f>IFERROR(VLOOKUP($D54,'Master Sheet'!$B:$AA,2,FALSE),"")</f>
        <v>VBW30001</v>
      </c>
      <c r="J54" s="34" t="str">
        <f>IFERROR(VLOOKUP($D54,'Master Sheet'!$B:$AA,5,FALSE),"")</f>
        <v>018208270453</v>
      </c>
      <c r="K54" s="35">
        <f>IFERROR(VLOOKUP($D54,'Master Sheet'!$B:$AA,8,FALSE),"")</f>
        <v>3464.9549999999999</v>
      </c>
      <c r="M54" s="9"/>
    </row>
    <row r="55" spans="1:13" ht="15" customHeight="1" thickBot="1" x14ac:dyDescent="0.3">
      <c r="A55" s="10"/>
      <c r="B55" s="31"/>
      <c r="C55" s="31"/>
      <c r="D55" s="53"/>
      <c r="E55" s="33"/>
      <c r="F55" s="2"/>
      <c r="G55" s="17" t="str">
        <f>IFERROR(VLOOKUP($D55,'Master Sheet'!$B:$AA,3,FALSE),"")</f>
        <v/>
      </c>
      <c r="H55" s="2"/>
      <c r="I55" s="2" t="str">
        <f>IFERROR(VLOOKUP($D55,'Master Sheet'!$B:$AA,2,FALSE),"")</f>
        <v/>
      </c>
      <c r="J55" s="34" t="str">
        <f>IFERROR(VLOOKUP($D55,'Master Sheet'!$B:$AA,5,FALSE),"")</f>
        <v/>
      </c>
      <c r="K55" s="35" t="str">
        <f>IFERROR(VLOOKUP($D55,'Master Sheet'!$B:$AA,8,FALSE),"")</f>
        <v/>
      </c>
      <c r="M55" s="9"/>
    </row>
    <row r="56" spans="1:13" ht="15" customHeight="1" thickBot="1" x14ac:dyDescent="0.3">
      <c r="A56" s="10"/>
      <c r="B56" s="31"/>
      <c r="C56" s="46" t="s">
        <v>640</v>
      </c>
      <c r="D56" s="49"/>
      <c r="E56" s="48"/>
      <c r="F56" s="47"/>
      <c r="G56" s="49"/>
      <c r="H56" s="47"/>
      <c r="I56" s="47"/>
      <c r="J56" s="61"/>
      <c r="K56" s="62"/>
      <c r="M56" s="9"/>
    </row>
    <row r="57" spans="1:13" ht="14.45" customHeight="1" x14ac:dyDescent="0.25">
      <c r="A57" s="10"/>
      <c r="B57" s="31"/>
      <c r="C57" s="31"/>
      <c r="D57" s="53" t="s">
        <v>580</v>
      </c>
      <c r="E57" s="33"/>
      <c r="F57" s="2"/>
      <c r="G57" s="17" t="str">
        <f>IFERROR(VLOOKUP($D57,'Master Sheet'!$B:$AA,3,FALSE),"")</f>
        <v>DK-33 Rubber Eyecup</v>
      </c>
      <c r="H57" s="2"/>
      <c r="I57" s="2" t="str">
        <f>IFERROR(VLOOKUP($D57,'Master Sheet'!$B:$AA,2,FALSE),"")</f>
        <v>VOW00501</v>
      </c>
      <c r="J57" s="34" t="str">
        <f>IFERROR(VLOOKUP($D57,'Master Sheet'!$B:$AA,5,FALSE),"")</f>
        <v>018208272242</v>
      </c>
      <c r="K57" s="35">
        <f>IFERROR(VLOOKUP($D57,'Master Sheet'!$B:$AA,8,FALSE),"")</f>
        <v>152.95499999999998</v>
      </c>
      <c r="M57" s="9"/>
    </row>
    <row r="58" spans="1:13" ht="15" customHeight="1" thickBot="1" x14ac:dyDescent="0.3">
      <c r="A58" s="10"/>
      <c r="B58" s="31"/>
      <c r="C58" s="31"/>
      <c r="D58" s="53"/>
      <c r="E58" s="33"/>
      <c r="F58" s="2"/>
      <c r="G58" s="17" t="str">
        <f>IFERROR(VLOOKUP($D58,'Master Sheet'!$B:$AA,3,FALSE),"")</f>
        <v/>
      </c>
      <c r="H58" s="2"/>
      <c r="I58" s="2" t="str">
        <f>IFERROR(VLOOKUP($D58,'Master Sheet'!$B:$AA,2,FALSE),"")</f>
        <v/>
      </c>
      <c r="J58" s="34" t="str">
        <f>IFERROR(VLOOKUP($D58,'Master Sheet'!$B:$AA,5,FALSE),"")</f>
        <v/>
      </c>
      <c r="K58" s="35" t="str">
        <f>IFERROR(VLOOKUP($D58,'Master Sheet'!$B:$AA,8,FALSE),"")</f>
        <v/>
      </c>
      <c r="M58" s="9"/>
    </row>
    <row r="59" spans="1:13" ht="15" customHeight="1" thickBot="1" x14ac:dyDescent="0.3">
      <c r="A59" s="10"/>
      <c r="B59" s="31"/>
      <c r="C59" s="46" t="s">
        <v>30</v>
      </c>
      <c r="D59" s="49"/>
      <c r="E59" s="48"/>
      <c r="F59" s="47"/>
      <c r="G59" s="49"/>
      <c r="H59" s="47"/>
      <c r="I59" s="47"/>
      <c r="J59" s="61"/>
      <c r="K59" s="62"/>
      <c r="M59" s="9"/>
    </row>
    <row r="60" spans="1:13" ht="14.45" customHeight="1" x14ac:dyDescent="0.25">
      <c r="A60" s="10"/>
      <c r="B60" s="31"/>
      <c r="C60" s="31"/>
      <c r="D60" s="53" t="s">
        <v>269</v>
      </c>
      <c r="E60" s="33"/>
      <c r="F60" s="2"/>
      <c r="G60" s="17" t="str">
        <f>IFERROR(VLOOKUP($D60,'Master Sheet'!$B:$AA,3,FALSE),"")</f>
        <v>USB Cable UC-E24</v>
      </c>
      <c r="H60" s="2"/>
      <c r="I60" s="2" t="str">
        <f>IFERROR(VLOOKUP($D60,'Master Sheet'!$B:$AA,2,FALSE),"")</f>
        <v>VDU10701</v>
      </c>
      <c r="J60" s="34" t="str">
        <f>IFERROR(VLOOKUP($D60,'Master Sheet'!$B:$AA,5,FALSE),"")</f>
        <v>018208042166</v>
      </c>
      <c r="K60" s="35">
        <f>IFERROR(VLOOKUP($D60,'Master Sheet'!$B:$AA,8,FALSE),"")</f>
        <v>512.95500000000004</v>
      </c>
      <c r="M60" s="9"/>
    </row>
    <row r="61" spans="1:13" ht="14.45" customHeight="1" x14ac:dyDescent="0.25">
      <c r="A61" s="10"/>
      <c r="B61" s="31"/>
      <c r="C61" s="31"/>
      <c r="D61" s="53" t="s">
        <v>270</v>
      </c>
      <c r="E61" s="33"/>
      <c r="F61" s="2"/>
      <c r="G61" s="17" t="str">
        <f>IFERROR(VLOOKUP($D61,'Master Sheet'!$B:$AA,3,FALSE),"")</f>
        <v>USB Cable UC-E25</v>
      </c>
      <c r="H61" s="2"/>
      <c r="I61" s="2" t="str">
        <f>IFERROR(VLOOKUP($D61,'Master Sheet'!$B:$AA,2,FALSE),"")</f>
        <v>VDU10801</v>
      </c>
      <c r="J61" s="34" t="str">
        <f>IFERROR(VLOOKUP($D61,'Master Sheet'!$B:$AA,5,FALSE),"")</f>
        <v>018208042234</v>
      </c>
      <c r="K61" s="35">
        <f>IFERROR(VLOOKUP($D61,'Master Sheet'!$B:$AA,8,FALSE),"")</f>
        <v>575.95500000000004</v>
      </c>
      <c r="M61" s="9"/>
    </row>
    <row r="62" spans="1:13" x14ac:dyDescent="0.25">
      <c r="A62" s="10"/>
      <c r="B62" s="31"/>
      <c r="C62" s="31"/>
      <c r="D62" s="53"/>
      <c r="E62" s="33"/>
      <c r="F62" s="2"/>
      <c r="G62" s="17" t="str">
        <f>IFERROR(VLOOKUP($D62,'Master Sheet'!$B:$AA,3,FALSE),"")</f>
        <v/>
      </c>
      <c r="H62" s="2"/>
      <c r="I62" s="2" t="str">
        <f>IFERROR(VLOOKUP($D62,'Master Sheet'!$B:$AA,2,FALSE),"")</f>
        <v/>
      </c>
      <c r="J62" s="34" t="str">
        <f>IFERROR(VLOOKUP($D62,'Master Sheet'!$B:$AA,5,FALSE),"")</f>
        <v/>
      </c>
      <c r="K62" s="35" t="str">
        <f>IFERROR(VLOOKUP($D62,'Master Sheet'!$B:$AA,8,FALSE),"")</f>
        <v/>
      </c>
      <c r="M62" s="9"/>
    </row>
    <row r="63" spans="1:13" x14ac:dyDescent="0.25">
      <c r="A63" s="10"/>
      <c r="B63" s="33"/>
      <c r="C63" s="31"/>
      <c r="D63" s="53"/>
      <c r="E63" s="33"/>
      <c r="F63" s="2"/>
      <c r="G63" s="17" t="str">
        <f>IFERROR(VLOOKUP($D63,'Master Sheet'!$B:$AA,3,FALSE),"")</f>
        <v/>
      </c>
      <c r="H63" s="2"/>
      <c r="I63" s="2" t="str">
        <f>IFERROR(VLOOKUP($D63,'Master Sheet'!$B:$AA,2,FALSE),"")</f>
        <v/>
      </c>
      <c r="J63" s="34" t="str">
        <f>IFERROR(VLOOKUP($D63,'Master Sheet'!$B:$AA,5,FALSE),"")</f>
        <v/>
      </c>
      <c r="K63" s="35" t="str">
        <f>IFERROR(VLOOKUP($D63,'Master Sheet'!$B:$AA,8,FALSE),"")</f>
        <v/>
      </c>
      <c r="M63" s="9"/>
    </row>
    <row r="64" spans="1:13" x14ac:dyDescent="0.25">
      <c r="A64" s="10"/>
      <c r="B64" s="10"/>
      <c r="C64" s="10"/>
      <c r="D64" s="16"/>
      <c r="E64" s="10"/>
      <c r="F64" s="10"/>
      <c r="G64" s="50"/>
      <c r="H64" s="6"/>
      <c r="I64" s="6"/>
      <c r="J64" s="51"/>
      <c r="K64" s="52"/>
      <c r="L64" s="9"/>
      <c r="M64" s="9"/>
    </row>
  </sheetData>
  <sortState xmlns:xlrd2="http://schemas.microsoft.com/office/spreadsheetml/2017/richdata2" ref="D39:D44">
    <sortCondition ref="D39:D44"/>
  </sortState>
  <mergeCells count="5">
    <mergeCell ref="G20:K20"/>
    <mergeCell ref="D11:D12"/>
    <mergeCell ref="D14:D15"/>
    <mergeCell ref="D17:D18"/>
    <mergeCell ref="D20:D21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D338-3DFF-4C09-8A4B-1026D35EC2F6}">
  <sheetPr>
    <pageSetUpPr fitToPage="1"/>
  </sheetPr>
  <dimension ref="A1:M60"/>
  <sheetViews>
    <sheetView showGridLines="0" showRowColHeaders="0" zoomScale="85" zoomScaleNormal="85" workbookViewId="0">
      <selection activeCell="K22" sqref="K22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53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18" t="s">
        <v>0</v>
      </c>
      <c r="D3" s="70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58" t="s">
        <v>1</v>
      </c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18" t="s">
        <v>2</v>
      </c>
      <c r="D5" s="14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58" t="s">
        <v>648</v>
      </c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18" t="s">
        <v>3</v>
      </c>
      <c r="D7" s="14"/>
      <c r="E7" s="36"/>
      <c r="F7" s="8"/>
      <c r="G7" s="22"/>
      <c r="H7" s="8"/>
      <c r="J7" s="34"/>
      <c r="K7" s="35"/>
      <c r="M7" s="7"/>
    </row>
    <row r="8" spans="1:13" ht="13.7" customHeight="1" x14ac:dyDescent="0.25">
      <c r="A8" s="10"/>
      <c r="B8" s="31"/>
      <c r="C8" s="31"/>
      <c r="D8" s="58" t="s">
        <v>788</v>
      </c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58" t="s">
        <v>787</v>
      </c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18" t="s">
        <v>4</v>
      </c>
      <c r="D10" s="14"/>
      <c r="E10" s="36"/>
      <c r="F10" s="8"/>
      <c r="G10" s="22"/>
      <c r="H10" s="8"/>
      <c r="J10" s="34"/>
      <c r="K10" s="35"/>
      <c r="M10" s="7"/>
    </row>
    <row r="11" spans="1:13" s="13" customFormat="1" ht="13.7" customHeight="1" x14ac:dyDescent="0.25">
      <c r="A11" s="16"/>
      <c r="B11" s="37"/>
      <c r="C11" s="37"/>
      <c r="D11" s="93" t="s">
        <v>651</v>
      </c>
      <c r="E11" s="58"/>
      <c r="F11" s="57"/>
      <c r="G11" s="22"/>
      <c r="H11" s="57"/>
      <c r="I11" s="17"/>
      <c r="J11" s="44"/>
      <c r="K11" s="45"/>
      <c r="M11" s="12"/>
    </row>
    <row r="12" spans="1:13" s="13" customFormat="1" ht="28.9" customHeight="1" x14ac:dyDescent="0.25">
      <c r="A12" s="16"/>
      <c r="B12" s="37"/>
      <c r="C12" s="37"/>
      <c r="D12" s="93"/>
      <c r="E12" s="58"/>
      <c r="F12" s="57"/>
      <c r="G12" s="22"/>
      <c r="H12" s="57"/>
      <c r="I12" s="17"/>
      <c r="J12" s="44"/>
      <c r="K12" s="45"/>
      <c r="M12" s="12"/>
    </row>
    <row r="13" spans="1:13" x14ac:dyDescent="0.25">
      <c r="A13" s="10"/>
      <c r="B13" s="31"/>
      <c r="C13" s="18" t="s">
        <v>5</v>
      </c>
      <c r="D13" s="14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93" t="s">
        <v>792</v>
      </c>
      <c r="E14" s="36"/>
      <c r="F14" s="8"/>
      <c r="G14" s="22"/>
      <c r="H14" s="8"/>
      <c r="J14" s="34"/>
      <c r="K14" s="35"/>
      <c r="M14" s="9"/>
    </row>
    <row r="15" spans="1:13" x14ac:dyDescent="0.25">
      <c r="A15" s="10"/>
      <c r="B15" s="31"/>
      <c r="C15" s="31"/>
      <c r="D15" s="93"/>
      <c r="E15" s="36"/>
      <c r="F15" s="8"/>
      <c r="G15" s="22"/>
      <c r="H15" s="8"/>
      <c r="J15" s="34"/>
      <c r="K15" s="35"/>
      <c r="M15" s="9"/>
    </row>
    <row r="16" spans="1:13" x14ac:dyDescent="0.25">
      <c r="A16" s="10"/>
      <c r="B16" s="31"/>
      <c r="C16" s="18" t="s">
        <v>6</v>
      </c>
      <c r="D16" s="14"/>
      <c r="E16" s="36"/>
      <c r="F16" s="8"/>
      <c r="G16" s="22"/>
      <c r="H16" s="8"/>
      <c r="J16" s="34"/>
      <c r="K16" s="35"/>
      <c r="M16" s="9"/>
    </row>
    <row r="17" spans="1:13" x14ac:dyDescent="0.25">
      <c r="A17" s="10"/>
      <c r="B17" s="31"/>
      <c r="C17" s="31"/>
      <c r="D17" s="93" t="s">
        <v>652</v>
      </c>
      <c r="E17" s="36"/>
      <c r="F17" s="8"/>
      <c r="G17" s="22"/>
      <c r="H17" s="8"/>
      <c r="J17" s="34"/>
      <c r="K17" s="35"/>
      <c r="M17" s="9"/>
    </row>
    <row r="18" spans="1:13" x14ac:dyDescent="0.25">
      <c r="A18" s="10"/>
      <c r="B18" s="31"/>
      <c r="C18" s="31"/>
      <c r="D18" s="93"/>
      <c r="E18" s="36"/>
      <c r="F18" s="8"/>
      <c r="G18" s="22"/>
      <c r="H18" s="8"/>
      <c r="J18" s="34"/>
      <c r="K18" s="35"/>
      <c r="M18" s="9"/>
    </row>
    <row r="19" spans="1:13" ht="13.5" thickBot="1" x14ac:dyDescent="0.3">
      <c r="A19" s="10"/>
      <c r="B19" s="31"/>
      <c r="C19" s="18" t="s">
        <v>7</v>
      </c>
      <c r="D19" s="14"/>
      <c r="E19" s="36"/>
      <c r="F19" s="8"/>
      <c r="G19" s="22"/>
      <c r="H19" s="8"/>
      <c r="J19" s="34"/>
      <c r="K19" s="35"/>
      <c r="M19" s="9"/>
    </row>
    <row r="20" spans="1:13" ht="14.45" customHeight="1" thickBot="1" x14ac:dyDescent="0.3">
      <c r="A20" s="10"/>
      <c r="B20" s="31"/>
      <c r="C20" s="31"/>
      <c r="D20" s="94" t="s">
        <v>791</v>
      </c>
      <c r="E20" s="36"/>
      <c r="F20" s="8"/>
      <c r="G20" s="90" t="s">
        <v>668</v>
      </c>
      <c r="H20" s="91"/>
      <c r="I20" s="91"/>
      <c r="J20" s="91"/>
      <c r="K20" s="92"/>
      <c r="M20" s="9"/>
    </row>
    <row r="21" spans="1:13" ht="13.5" thickBot="1" x14ac:dyDescent="0.3">
      <c r="A21" s="10"/>
      <c r="B21" s="31"/>
      <c r="C21" s="31"/>
      <c r="D21" s="95"/>
      <c r="E21" s="36"/>
      <c r="F21" s="8"/>
      <c r="G21" s="22"/>
      <c r="H21" s="8"/>
      <c r="J21" s="34"/>
      <c r="K21" s="35"/>
      <c r="M21" s="9"/>
    </row>
    <row r="22" spans="1:13" ht="13.5" thickBot="1" x14ac:dyDescent="0.3">
      <c r="A22" s="10"/>
      <c r="B22" s="31"/>
      <c r="C22" s="39" t="s">
        <v>48</v>
      </c>
      <c r="D22" s="60"/>
      <c r="E22" s="40"/>
      <c r="F22" s="55"/>
      <c r="G22" s="41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3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3" x14ac:dyDescent="0.25">
      <c r="A24" s="10"/>
      <c r="B24" s="31"/>
      <c r="C24" s="31"/>
      <c r="D24" s="53" t="s">
        <v>647</v>
      </c>
      <c r="E24" s="33"/>
      <c r="F24" s="2"/>
      <c r="G24" s="17" t="str">
        <f>IFERROR(VLOOKUP($D24,'Master Sheet'!$B:$AA,3,FALSE),"")</f>
        <v>Nikon Z8 Mirrorless Digital Camera Body</v>
      </c>
      <c r="H24" s="2"/>
      <c r="I24" s="2" t="str">
        <f>IFERROR(VLOOKUP($D24,'Master Sheet'!$B:$AA,2,FALSE),"")</f>
        <v>VOA100AM</v>
      </c>
      <c r="J24" s="34" t="str">
        <f>IFERROR(VLOOKUP($D24,'Master Sheet'!$B:$AA,5,FALSE),"")</f>
        <v>4960759909985</v>
      </c>
      <c r="K24" s="35">
        <f>IFERROR(VLOOKUP($D24,'Master Sheet'!$B:$AA,8,FALSE),"")</f>
        <v>66527.955000000002</v>
      </c>
      <c r="M24" s="9"/>
    </row>
    <row r="25" spans="1:13" ht="13.5" thickBot="1" x14ac:dyDescent="0.3">
      <c r="A25" s="10"/>
      <c r="B25" s="31"/>
      <c r="C25" s="31"/>
      <c r="D25" s="53"/>
      <c r="E25" s="33"/>
      <c r="F25" s="2"/>
      <c r="G25" s="17" t="str">
        <f>IFERROR(VLOOKUP($D25,'Master Sheet'!$B:$AA,3,FALSE),"")</f>
        <v/>
      </c>
      <c r="H25" s="2"/>
      <c r="I25" s="2" t="str">
        <f>IFERROR(VLOOKUP($D25,'Master Sheet'!$B:$AA,2,FALSE),"")</f>
        <v/>
      </c>
      <c r="J25" s="34" t="str">
        <f>IFERROR(VLOOKUP($D25,'Master Sheet'!$B:$AA,5,FALSE),"")</f>
        <v/>
      </c>
      <c r="K25" s="35" t="str">
        <f>IFERROR(VLOOKUP($D25,'Master Sheet'!$B:$AA,8,FALSE),"")</f>
        <v/>
      </c>
      <c r="M25" s="9"/>
    </row>
    <row r="26" spans="1:13" ht="13.5" thickBot="1" x14ac:dyDescent="0.3">
      <c r="A26" s="10"/>
      <c r="B26" s="31"/>
      <c r="C26" s="46" t="s">
        <v>31</v>
      </c>
      <c r="D26" s="49"/>
      <c r="E26" s="48"/>
      <c r="F26" s="47"/>
      <c r="G26" s="49"/>
      <c r="H26" s="47"/>
      <c r="I26" s="47"/>
      <c r="J26" s="61"/>
      <c r="K26" s="62"/>
      <c r="M26" s="9"/>
    </row>
    <row r="27" spans="1:13" x14ac:dyDescent="0.25">
      <c r="A27" s="10"/>
      <c r="B27" s="31"/>
      <c r="C27" s="31"/>
      <c r="D27" s="53" t="s">
        <v>435</v>
      </c>
      <c r="E27" s="33"/>
      <c r="F27" s="2"/>
      <c r="G27" s="17" t="str">
        <f>IFERROR(VLOOKUP($D27,'Master Sheet'!$B:$AA,3,FALSE),"")</f>
        <v>BF-N1 Body Cap (Z-Series)</v>
      </c>
      <c r="H27" s="2"/>
      <c r="I27" s="2" t="str">
        <f>IFERROR(VLOOKUP($D27,'Master Sheet'!$B:$AA,2,FALSE),"")</f>
        <v>VOD00101</v>
      </c>
      <c r="J27" s="34" t="str">
        <f>IFERROR(VLOOKUP($D27,'Master Sheet'!$B:$AA,5,FALSE),"")</f>
        <v>4960759901002</v>
      </c>
      <c r="K27" s="35">
        <f>IFERROR(VLOOKUP($D27,'Master Sheet'!$B:$AA,8,FALSE),"")</f>
        <v>116.955</v>
      </c>
      <c r="M27" s="9"/>
    </row>
    <row r="28" spans="1:13" ht="13.5" thickBot="1" x14ac:dyDescent="0.3">
      <c r="A28" s="10"/>
      <c r="B28" s="31"/>
      <c r="C28" s="31"/>
      <c r="D28" s="53"/>
      <c r="E28" s="33"/>
      <c r="F28" s="2"/>
      <c r="H28" s="2"/>
      <c r="J28" s="34"/>
      <c r="K28" s="35"/>
      <c r="M28" s="9"/>
    </row>
    <row r="29" spans="1:13" ht="13.5" thickBot="1" x14ac:dyDescent="0.3">
      <c r="A29" s="10"/>
      <c r="B29" s="31"/>
      <c r="C29" s="46" t="s">
        <v>641</v>
      </c>
      <c r="D29" s="49"/>
      <c r="E29" s="48"/>
      <c r="F29" s="47"/>
      <c r="G29" s="49"/>
      <c r="H29" s="47"/>
      <c r="I29" s="47"/>
      <c r="J29" s="61"/>
      <c r="K29" s="62"/>
      <c r="M29" s="9"/>
    </row>
    <row r="30" spans="1:13" x14ac:dyDescent="0.25">
      <c r="A30" s="10"/>
      <c r="B30" s="31"/>
      <c r="C30" s="31"/>
      <c r="D30" s="53" t="s">
        <v>481</v>
      </c>
      <c r="E30" s="33"/>
      <c r="F30" s="2"/>
      <c r="G30" s="17" t="str">
        <f>IFERROR(VLOOKUP($D30,'Master Sheet'!$B:$AA,3,FALSE),"")</f>
        <v>FTZ II Mount Adapter</v>
      </c>
      <c r="H30" s="2"/>
      <c r="I30" s="2" t="str">
        <f>IFERROR(VLOOKUP($D30,'Master Sheet'!$B:$AA,2,FALSE),"")</f>
        <v>JMA905DA</v>
      </c>
      <c r="J30" s="34" t="str">
        <f>IFERROR(VLOOKUP($D30,'Master Sheet'!$B:$AA,5,FALSE),"")</f>
        <v>018208042647</v>
      </c>
      <c r="K30" s="35">
        <f>IFERROR(VLOOKUP($D30,'Master Sheet'!$B:$AA,8,FALSE),"")</f>
        <v>4049.9549999999999</v>
      </c>
      <c r="M30" s="9"/>
    </row>
    <row r="31" spans="1:13" ht="13.5" thickBot="1" x14ac:dyDescent="0.3">
      <c r="A31" s="10"/>
      <c r="B31" s="31"/>
      <c r="C31" s="31"/>
      <c r="D31" s="53"/>
      <c r="E31" s="33"/>
      <c r="F31" s="2"/>
      <c r="G31" s="17" t="str">
        <f>IFERROR(VLOOKUP($D31,'Master Sheet'!$B:$AA,3,FALSE),"")</f>
        <v/>
      </c>
      <c r="H31" s="2"/>
      <c r="I31" s="2" t="str">
        <f>IFERROR(VLOOKUP($D31,'Master Sheet'!$B:$AA,2,FALSE),"")</f>
        <v/>
      </c>
      <c r="J31" s="34" t="str">
        <f>IFERROR(VLOOKUP($D31,'Master Sheet'!$B:$AA,5,FALSE),"")</f>
        <v/>
      </c>
      <c r="K31" s="35" t="str">
        <f>IFERROR(VLOOKUP($D31,'Master Sheet'!$B:$AA,8,FALSE),"")</f>
        <v/>
      </c>
      <c r="M31" s="9"/>
    </row>
    <row r="32" spans="1:13" ht="13.5" thickBot="1" x14ac:dyDescent="0.3">
      <c r="A32" s="10"/>
      <c r="B32" s="31"/>
      <c r="C32" s="46" t="s">
        <v>8</v>
      </c>
      <c r="D32" s="49"/>
      <c r="E32" s="48"/>
      <c r="F32" s="47"/>
      <c r="G32" s="49"/>
      <c r="H32" s="47"/>
      <c r="I32" s="47"/>
      <c r="J32" s="61"/>
      <c r="K32" s="62"/>
      <c r="M32" s="9"/>
    </row>
    <row r="33" spans="1:13" x14ac:dyDescent="0.25">
      <c r="A33" s="10"/>
      <c r="B33" s="31"/>
      <c r="C33" s="31"/>
      <c r="D33" s="53"/>
      <c r="E33" s="33"/>
      <c r="F33" s="2"/>
      <c r="G33" s="17" t="s">
        <v>649</v>
      </c>
      <c r="H33" s="2"/>
      <c r="I33" s="2" t="str">
        <f>IFERROR(VLOOKUP($D33,'Master Sheet'!$B:$AA,2,FALSE),"")</f>
        <v/>
      </c>
      <c r="J33" s="34" t="str">
        <f>IFERROR(VLOOKUP($D33,'Master Sheet'!$B:$AA,5,FALSE),"")</f>
        <v/>
      </c>
      <c r="K33" s="35" t="str">
        <f>IFERROR(VLOOKUP($D33,'Master Sheet'!$B:$AA,8,FALSE),"")</f>
        <v/>
      </c>
      <c r="M33" s="9"/>
    </row>
    <row r="34" spans="1:13" ht="13.5" thickBot="1" x14ac:dyDescent="0.3">
      <c r="A34" s="10"/>
      <c r="B34" s="31"/>
      <c r="C34" s="31"/>
      <c r="D34" s="53"/>
      <c r="E34" s="33"/>
      <c r="F34" s="2"/>
      <c r="G34" s="17" t="str">
        <f>IFERROR(VLOOKUP($D34,'Master Sheet'!$B:$AA,3,FALSE),"")</f>
        <v/>
      </c>
      <c r="H34" s="2"/>
      <c r="I34" s="2" t="str">
        <f>IFERROR(VLOOKUP($D34,'Master Sheet'!$B:$AA,2,FALSE),"")</f>
        <v/>
      </c>
      <c r="J34" s="34" t="str">
        <f>IFERROR(VLOOKUP($D34,'Master Sheet'!$B:$AA,5,FALSE),"")</f>
        <v/>
      </c>
      <c r="K34" s="35" t="str">
        <f>IFERROR(VLOOKUP($D34,'Master Sheet'!$B:$AA,8,FALSE),"")</f>
        <v/>
      </c>
      <c r="M34" s="9"/>
    </row>
    <row r="35" spans="1:13" ht="13.5" thickBot="1" x14ac:dyDescent="0.3">
      <c r="A35" s="10"/>
      <c r="B35" s="31"/>
      <c r="C35" s="46" t="s">
        <v>9</v>
      </c>
      <c r="D35" s="49"/>
      <c r="E35" s="48"/>
      <c r="F35" s="47"/>
      <c r="G35" s="49"/>
      <c r="H35" s="47"/>
      <c r="I35" s="47"/>
      <c r="J35" s="61"/>
      <c r="K35" s="62"/>
      <c r="M35" s="9"/>
    </row>
    <row r="36" spans="1:13" x14ac:dyDescent="0.25">
      <c r="A36" s="10"/>
      <c r="B36" s="31"/>
      <c r="C36" s="31"/>
      <c r="D36" s="53"/>
      <c r="E36" s="33"/>
      <c r="F36" s="2"/>
      <c r="G36" s="17" t="s">
        <v>650</v>
      </c>
      <c r="H36" s="2"/>
      <c r="I36" s="2" t="str">
        <f>IFERROR(VLOOKUP($D36,'Master Sheet'!$B:$AA,2,FALSE),"")</f>
        <v/>
      </c>
      <c r="J36" s="34" t="str">
        <f>IFERROR(VLOOKUP($D36,'Master Sheet'!$B:$AA,5,FALSE),"")</f>
        <v/>
      </c>
      <c r="K36" s="35" t="str">
        <f>IFERROR(VLOOKUP($D36,'Master Sheet'!$B:$AA,8,FALSE),"")</f>
        <v/>
      </c>
      <c r="M36" s="9"/>
    </row>
    <row r="37" spans="1:13" ht="13.5" thickBot="1" x14ac:dyDescent="0.3">
      <c r="A37" s="10"/>
      <c r="B37" s="31"/>
      <c r="C37" s="31"/>
      <c r="D37" s="53"/>
      <c r="E37" s="33"/>
      <c r="F37" s="2"/>
      <c r="G37" s="17" t="str">
        <f>IFERROR(VLOOKUP($D37,'Master Sheet'!$B:$AA,3,FALSE),"")</f>
        <v/>
      </c>
      <c r="H37" s="2"/>
      <c r="I37" s="2" t="str">
        <f>IFERROR(VLOOKUP($D37,'Master Sheet'!$B:$AA,2,FALSE),"")</f>
        <v/>
      </c>
      <c r="J37" s="34" t="str">
        <f>IFERROR(VLOOKUP($D37,'Master Sheet'!$B:$AA,5,FALSE),"")</f>
        <v/>
      </c>
      <c r="K37" s="35" t="str">
        <f>IFERROR(VLOOKUP($D37,'Master Sheet'!$B:$AA,8,FALSE),"")</f>
        <v/>
      </c>
      <c r="M37" s="9"/>
    </row>
    <row r="38" spans="1:13" ht="13.5" thickBot="1" x14ac:dyDescent="0.3">
      <c r="A38" s="10"/>
      <c r="B38" s="31"/>
      <c r="C38" s="46" t="s">
        <v>23</v>
      </c>
      <c r="D38" s="49"/>
      <c r="E38" s="48"/>
      <c r="F38" s="47"/>
      <c r="G38" s="49"/>
      <c r="H38" s="47"/>
      <c r="I38" s="47"/>
      <c r="J38" s="61"/>
      <c r="K38" s="62"/>
      <c r="M38" s="9"/>
    </row>
    <row r="39" spans="1:13" x14ac:dyDescent="0.25">
      <c r="A39" s="10"/>
      <c r="B39" s="31"/>
      <c r="C39" s="31"/>
      <c r="D39" s="32" t="s">
        <v>689</v>
      </c>
      <c r="E39" s="33"/>
      <c r="F39" s="2"/>
      <c r="G39" s="2" t="str">
        <f>IFERROR(VLOOKUP($D39,'Master Sheet'!$B:$AA,3,FALSE),"")</f>
        <v>Nikon MB-N12 battery pack for the Z8</v>
      </c>
      <c r="H39" s="2"/>
      <c r="I39" s="2" t="str">
        <f>IFERROR(VLOOKUP($D39,'Master Sheet'!$B:$AA,2,FALSE),"")</f>
        <v>MB-N12</v>
      </c>
      <c r="J39" s="34" t="str">
        <f>IFERROR(VLOOKUP($D39,'Master Sheet'!$B:$AA,5,FALSE),"")</f>
        <v>018208272273</v>
      </c>
      <c r="K39" s="35">
        <f>IFERROR(VLOOKUP($D39,'Master Sheet'!$B:$AA,8,FALSE),"")</f>
        <v>8279.9550000000017</v>
      </c>
      <c r="M39" s="9"/>
    </row>
    <row r="40" spans="1:13" x14ac:dyDescent="0.25">
      <c r="A40" s="10"/>
      <c r="B40" s="31"/>
      <c r="C40" s="31"/>
      <c r="D40" s="53" t="s">
        <v>367</v>
      </c>
      <c r="E40" s="33"/>
      <c r="F40" s="2"/>
      <c r="G40" s="17" t="str">
        <f>IFERROR(VLOOKUP($D40,'Master Sheet'!$B:$AA,3,FALSE),"")</f>
        <v>EN-EL15C RECHARGEABLE LI-ION BATTERY</v>
      </c>
      <c r="H40" s="2"/>
      <c r="I40" s="2" t="str">
        <f>IFERROR(VLOOKUP($D40,'Master Sheet'!$B:$AA,2,FALSE),"")</f>
        <v>VFB12802</v>
      </c>
      <c r="J40" s="34" t="str">
        <f>IFERROR(VLOOKUP($D40,'Master Sheet'!$B:$AA,5,FALSE),"")</f>
        <v>4960759904393</v>
      </c>
      <c r="K40" s="35">
        <f>IFERROR(VLOOKUP($D40,'Master Sheet'!$B:$AA,8,FALSE),"")</f>
        <v>1439.9550000000002</v>
      </c>
      <c r="M40" s="9"/>
    </row>
    <row r="41" spans="1:13" x14ac:dyDescent="0.25">
      <c r="A41" s="10"/>
      <c r="B41" s="31"/>
      <c r="C41" s="31"/>
      <c r="D41" s="32" t="s">
        <v>24</v>
      </c>
      <c r="E41" s="33"/>
      <c r="F41" s="2"/>
      <c r="G41" s="2" t="str">
        <f>IFERROR(VLOOKUP($D41,'Master Sheet'!$B:$AA,3,FALSE),"")</f>
        <v>MH-25A BATTERY CHARGER - EN-EL15 Battery</v>
      </c>
      <c r="H41" s="2"/>
      <c r="I41" s="2" t="str">
        <f>IFERROR(VLOOKUP($D41,'Master Sheet'!$B:$AA,2,FALSE),"")</f>
        <v>VEA016EA</v>
      </c>
      <c r="J41" s="34" t="str">
        <f>IFERROR(VLOOKUP($D41,'Master Sheet'!$B:$AA,5,FALSE),"")</f>
        <v>018208941704</v>
      </c>
      <c r="K41" s="35">
        <f>IFERROR(VLOOKUP($D41,'Master Sheet'!$B:$AA,8,FALSE),"")</f>
        <v>1106.9550000000002</v>
      </c>
      <c r="M41" s="9"/>
    </row>
    <row r="42" spans="1:13" ht="25.5" x14ac:dyDescent="0.25">
      <c r="A42" s="10"/>
      <c r="B42" s="31"/>
      <c r="C42" s="31"/>
      <c r="D42" s="53" t="s">
        <v>83</v>
      </c>
      <c r="E42" s="33"/>
      <c r="F42" s="2"/>
      <c r="G42" s="17" t="str">
        <f>IFERROR(VLOOKUP($D42,'Master Sheet'!$B:$AA,3,FALSE),"")</f>
        <v>EP-5B POWER CONNECTOR - D7000/D7100/D600/D610/D800/E</v>
      </c>
      <c r="H42" s="2"/>
      <c r="I42" s="2" t="str">
        <f>IFERROR(VLOOKUP($D42,'Master Sheet'!$B:$AA,2,FALSE),"")</f>
        <v>VEB00901</v>
      </c>
      <c r="J42" s="34" t="str">
        <f>IFERROR(VLOOKUP($D42,'Master Sheet'!$B:$AA,5,FALSE),"")</f>
        <v>018208270149</v>
      </c>
      <c r="K42" s="35">
        <f>IFERROR(VLOOKUP($D42,'Master Sheet'!$B:$AA,8,FALSE),"")</f>
        <v>863.95500000000004</v>
      </c>
      <c r="M42" s="9"/>
    </row>
    <row r="43" spans="1:13" ht="13.5" thickBot="1" x14ac:dyDescent="0.3">
      <c r="A43" s="10"/>
      <c r="B43" s="31"/>
      <c r="C43" s="31"/>
      <c r="D43" s="53"/>
      <c r="E43" s="33"/>
      <c r="F43" s="2"/>
      <c r="G43" s="17" t="str">
        <f>IFERROR(VLOOKUP($D43,'Master Sheet'!$B:$AA,3,FALSE),"")</f>
        <v/>
      </c>
      <c r="H43" s="2"/>
      <c r="I43" s="2" t="str">
        <f>IFERROR(VLOOKUP($D43,'Master Sheet'!$B:$AA,2,FALSE),"")</f>
        <v/>
      </c>
      <c r="J43" s="34" t="str">
        <f>IFERROR(VLOOKUP($D43,'Master Sheet'!$B:$AA,5,FALSE),"")</f>
        <v/>
      </c>
      <c r="K43" s="35" t="str">
        <f>IFERROR(VLOOKUP($D43,'Master Sheet'!$B:$AA,8,FALSE),"")</f>
        <v/>
      </c>
      <c r="M43" s="9"/>
    </row>
    <row r="44" spans="1:13" ht="13.5" thickBot="1" x14ac:dyDescent="0.3">
      <c r="A44" s="10"/>
      <c r="B44" s="31"/>
      <c r="C44" s="46" t="s">
        <v>29</v>
      </c>
      <c r="D44" s="49"/>
      <c r="E44" s="48"/>
      <c r="F44" s="47"/>
      <c r="G44" s="49"/>
      <c r="H44" s="47"/>
      <c r="I44" s="47"/>
      <c r="J44" s="61"/>
      <c r="K44" s="62"/>
      <c r="M44" s="9"/>
    </row>
    <row r="45" spans="1:13" x14ac:dyDescent="0.25">
      <c r="A45" s="10"/>
      <c r="B45" s="31"/>
      <c r="C45" s="31"/>
      <c r="D45" s="53" t="s">
        <v>619</v>
      </c>
      <c r="E45" s="33"/>
      <c r="F45" s="2"/>
      <c r="G45" s="17" t="str">
        <f>IFERROR(VLOOKUP($D45,'Master Sheet'!$B:$AA,3,FALSE),"")</f>
        <v>Nikon MC-N10 Remote Grip</v>
      </c>
      <c r="H45" s="2"/>
      <c r="I45" s="2" t="str">
        <f>IFERROR(VLOOKUP($D45,'Master Sheet'!$B:$AA,2,FALSE),"")</f>
        <v>VDR009AA</v>
      </c>
      <c r="J45" s="34" t="str">
        <f>IFERROR(VLOOKUP($D45,'Master Sheet'!$B:$AA,5,FALSE),"")</f>
        <v>018208272303</v>
      </c>
      <c r="K45" s="35">
        <f>IFERROR(VLOOKUP($D45,'Master Sheet'!$B:$AA,8,FALSE),"")</f>
        <v>9629.9550000000017</v>
      </c>
      <c r="M45" s="9"/>
    </row>
    <row r="46" spans="1:13" x14ac:dyDescent="0.25">
      <c r="A46" s="10"/>
      <c r="B46" s="31"/>
      <c r="C46" s="31"/>
      <c r="D46" s="53" t="s">
        <v>479</v>
      </c>
      <c r="E46" s="33"/>
      <c r="F46" s="2"/>
      <c r="G46" s="17" t="str">
        <f>IFERROR(VLOOKUP($D46,'Master Sheet'!$B:$AA,3,FALSE),"")</f>
        <v>MC-30A REMOTE CORD - D4/D4S/D800/E</v>
      </c>
      <c r="H46" s="2"/>
      <c r="I46" s="2" t="str">
        <f>IFERROR(VLOOKUP($D46,'Master Sheet'!$B:$AA,2,FALSE),"")</f>
        <v>VDR00601</v>
      </c>
      <c r="J46" s="34" t="str">
        <f>IFERROR(VLOOKUP($D46,'Master Sheet'!$B:$AA,5,FALSE),"")</f>
        <v>018208046607</v>
      </c>
      <c r="K46" s="35">
        <f>IFERROR(VLOOKUP($D46,'Master Sheet'!$B:$AA,8,FALSE),"")</f>
        <v>1493.9550000000002</v>
      </c>
      <c r="M46" s="9"/>
    </row>
    <row r="47" spans="1:13" x14ac:dyDescent="0.25">
      <c r="A47" s="10"/>
      <c r="B47" s="31"/>
      <c r="C47" s="31"/>
      <c r="D47" s="53" t="s">
        <v>34</v>
      </c>
      <c r="E47" s="33"/>
      <c r="F47" s="2"/>
      <c r="G47" s="17" t="str">
        <f>IFERROR(VLOOKUP($D47,'Master Sheet'!$B:$AA,3,FALSE),"")</f>
        <v>MC-36A REMOTE CORD - D4/D4S/D800/E</v>
      </c>
      <c r="H47" s="2"/>
      <c r="I47" s="2" t="str">
        <f>IFERROR(VLOOKUP($D47,'Master Sheet'!$B:$AA,2,FALSE),"")</f>
        <v>VDR00801</v>
      </c>
      <c r="J47" s="34" t="str">
        <f>IFERROR(VLOOKUP($D47,'Master Sheet'!$B:$AA,5,FALSE),"")</f>
        <v>018208270323</v>
      </c>
      <c r="K47" s="35">
        <f>IFERROR(VLOOKUP($D47,'Master Sheet'!$B:$AA,8,FALSE),"")</f>
        <v>3914.9549999999999</v>
      </c>
      <c r="M47" s="9"/>
    </row>
    <row r="48" spans="1:13" x14ac:dyDescent="0.25">
      <c r="A48" s="10"/>
      <c r="B48" s="31"/>
      <c r="C48" s="31"/>
      <c r="D48" s="53" t="s">
        <v>480</v>
      </c>
      <c r="E48" s="33"/>
      <c r="F48" s="2"/>
      <c r="G48" s="17" t="str">
        <f>IFERROR(VLOOKUP($D48,'Master Sheet'!$B:$AA,3,FALSE),"")</f>
        <v>WR-R11A WIRELESS REMOTE CONTROLLER</v>
      </c>
      <c r="H48" s="2"/>
      <c r="I48" s="2" t="str">
        <f>IFERROR(VLOOKUP($D48,'Master Sheet'!$B:$AA,2,FALSE),"")</f>
        <v>VBJ005CG</v>
      </c>
      <c r="J48" s="34" t="str">
        <f>IFERROR(VLOOKUP($D48,'Master Sheet'!$B:$AA,5,FALSE),"")</f>
        <v>4960759905192</v>
      </c>
      <c r="K48" s="35">
        <f>IFERROR(VLOOKUP($D48,'Master Sheet'!$B:$AA,8,FALSE),"")</f>
        <v>3365.9549999999999</v>
      </c>
      <c r="M48" s="9"/>
    </row>
    <row r="49" spans="1:13" ht="38.25" x14ac:dyDescent="0.25">
      <c r="A49" s="10"/>
      <c r="B49" s="31"/>
      <c r="C49" s="31"/>
      <c r="D49" s="53" t="s">
        <v>37</v>
      </c>
      <c r="E49" s="33"/>
      <c r="F49" s="2"/>
      <c r="G49" s="17" t="str">
        <f>IFERROR(VLOOKUP($D49,'Master Sheet'!$B:$AA,3,FALSE),"")</f>
        <v>WR-A10 ADAPTER- Required for D4/D4S/D3/D3X/D2XS/D700/D300/D200 to use WR-R10 &amp; WR-T10</v>
      </c>
      <c r="H49" s="2"/>
      <c r="I49" s="2" t="str">
        <f>IFERROR(VLOOKUP($D49,'Master Sheet'!$B:$AA,2,FALSE),"")</f>
        <v>VWD00701</v>
      </c>
      <c r="J49" s="34" t="str">
        <f>IFERROR(VLOOKUP($D49,'Master Sheet'!$B:$AA,5,FALSE),"")</f>
        <v>018208271030</v>
      </c>
      <c r="K49" s="35">
        <f>IFERROR(VLOOKUP($D49,'Master Sheet'!$B:$AA,8,FALSE),"")</f>
        <v>1106.9550000000002</v>
      </c>
      <c r="M49" s="9"/>
    </row>
    <row r="50" spans="1:13" x14ac:dyDescent="0.25">
      <c r="A50" s="10"/>
      <c r="B50" s="31"/>
      <c r="C50" s="31"/>
      <c r="D50" s="53" t="s">
        <v>35</v>
      </c>
      <c r="E50" s="33"/>
      <c r="F50" s="2"/>
      <c r="G50" s="17" t="str">
        <f>IFERROR(VLOOKUP($D50,'Master Sheet'!$B:$AA,3,FALSE),"")</f>
        <v xml:space="preserve">WR-T10 WIRELESS REMOTE TRANSMITTER </v>
      </c>
      <c r="H50" s="2"/>
      <c r="I50" s="2" t="str">
        <f>IFERROR(VLOOKUP($D50,'Master Sheet'!$B:$AA,2,FALSE),"")</f>
        <v>VBJ003AE</v>
      </c>
      <c r="J50" s="34" t="str">
        <f>IFERROR(VLOOKUP($D50,'Master Sheet'!$B:$AA,5,FALSE),"")</f>
        <v>018208933525</v>
      </c>
      <c r="K50" s="35">
        <f>IFERROR(VLOOKUP($D50,'Master Sheet'!$B:$AA,8,FALSE),"")</f>
        <v>1475.9550000000002</v>
      </c>
      <c r="M50" s="9"/>
    </row>
    <row r="51" spans="1:13" ht="13.5" thickBot="1" x14ac:dyDescent="0.3">
      <c r="A51" s="10"/>
      <c r="B51" s="31"/>
      <c r="C51" s="31"/>
      <c r="D51" s="53"/>
      <c r="E51" s="33"/>
      <c r="F51" s="2"/>
      <c r="G51" s="17" t="str">
        <f>IFERROR(VLOOKUP($D51,'Master Sheet'!$B:$AA,3,FALSE),"")</f>
        <v/>
      </c>
      <c r="H51" s="2"/>
      <c r="I51" s="2" t="str">
        <f>IFERROR(VLOOKUP($D51,'Master Sheet'!$B:$AA,2,FALSE),"")</f>
        <v/>
      </c>
      <c r="J51" s="34" t="str">
        <f>IFERROR(VLOOKUP($D51,'Master Sheet'!$B:$AA,5,FALSE),"")</f>
        <v/>
      </c>
      <c r="K51" s="35" t="str">
        <f>IFERROR(VLOOKUP($D51,'Master Sheet'!$B:$AA,8,FALSE),"")</f>
        <v/>
      </c>
      <c r="M51" s="9"/>
    </row>
    <row r="52" spans="1:13" ht="13.5" thickBot="1" x14ac:dyDescent="0.3">
      <c r="A52" s="10"/>
      <c r="B52" s="31"/>
      <c r="C52" s="46" t="s">
        <v>640</v>
      </c>
      <c r="D52" s="49"/>
      <c r="E52" s="48"/>
      <c r="F52" s="47"/>
      <c r="G52" s="49"/>
      <c r="H52" s="47"/>
      <c r="I52" s="47"/>
      <c r="J52" s="61"/>
      <c r="K52" s="62"/>
      <c r="M52" s="9"/>
    </row>
    <row r="53" spans="1:13" x14ac:dyDescent="0.25">
      <c r="A53" s="10"/>
      <c r="B53" s="31"/>
      <c r="C53" s="31"/>
      <c r="D53" s="53" t="s">
        <v>580</v>
      </c>
      <c r="E53" s="33"/>
      <c r="F53" s="2"/>
      <c r="G53" s="17" t="str">
        <f>IFERROR(VLOOKUP($D53,'Master Sheet'!$B:$AA,3,FALSE),"")</f>
        <v>DK-33 Rubber Eyecup</v>
      </c>
      <c r="H53" s="2"/>
      <c r="I53" s="2" t="str">
        <f>IFERROR(VLOOKUP($D53,'Master Sheet'!$B:$AA,2,FALSE),"")</f>
        <v>VOW00501</v>
      </c>
      <c r="J53" s="34" t="str">
        <f>IFERROR(VLOOKUP($D53,'Master Sheet'!$B:$AA,5,FALSE),"")</f>
        <v>018208272242</v>
      </c>
      <c r="K53" s="35">
        <f>IFERROR(VLOOKUP($D53,'Master Sheet'!$B:$AA,8,FALSE),"")</f>
        <v>152.95499999999998</v>
      </c>
      <c r="M53" s="9"/>
    </row>
    <row r="54" spans="1:13" ht="13.5" thickBot="1" x14ac:dyDescent="0.3">
      <c r="A54" s="10"/>
      <c r="B54" s="31"/>
      <c r="C54" s="31"/>
      <c r="D54" s="53"/>
      <c r="E54" s="33"/>
      <c r="F54" s="2"/>
      <c r="G54" s="17" t="str">
        <f>IFERROR(VLOOKUP($D54,'Master Sheet'!$B:$AA,3,FALSE),"")</f>
        <v/>
      </c>
      <c r="H54" s="2"/>
      <c r="I54" s="2" t="str">
        <f>IFERROR(VLOOKUP($D54,'Master Sheet'!$B:$AA,2,FALSE),"")</f>
        <v/>
      </c>
      <c r="J54" s="34" t="str">
        <f>IFERROR(VLOOKUP($D54,'Master Sheet'!$B:$AA,5,FALSE),"")</f>
        <v/>
      </c>
      <c r="K54" s="35" t="str">
        <f>IFERROR(VLOOKUP($D54,'Master Sheet'!$B:$AA,8,FALSE),"")</f>
        <v/>
      </c>
      <c r="M54" s="9"/>
    </row>
    <row r="55" spans="1:13" ht="13.5" thickBot="1" x14ac:dyDescent="0.3">
      <c r="A55" s="10"/>
      <c r="B55" s="31"/>
      <c r="C55" s="46" t="s">
        <v>30</v>
      </c>
      <c r="D55" s="49"/>
      <c r="E55" s="48"/>
      <c r="F55" s="47"/>
      <c r="G55" s="49"/>
      <c r="H55" s="47"/>
      <c r="I55" s="47"/>
      <c r="J55" s="61"/>
      <c r="K55" s="62"/>
      <c r="M55" s="9"/>
    </row>
    <row r="56" spans="1:13" x14ac:dyDescent="0.25">
      <c r="A56" s="10"/>
      <c r="B56" s="31"/>
      <c r="C56" s="31"/>
      <c r="D56" s="53" t="s">
        <v>269</v>
      </c>
      <c r="E56" s="33"/>
      <c r="F56" s="2"/>
      <c r="G56" s="17" t="str">
        <f>IFERROR(VLOOKUP($D56,'Master Sheet'!$B:$AA,3,FALSE),"")</f>
        <v>USB Cable UC-E24</v>
      </c>
      <c r="H56" s="2"/>
      <c r="I56" s="2" t="str">
        <f>IFERROR(VLOOKUP($D56,'Master Sheet'!$B:$AA,2,FALSE),"")</f>
        <v>VDU10701</v>
      </c>
      <c r="J56" s="34" t="str">
        <f>IFERROR(VLOOKUP($D56,'Master Sheet'!$B:$AA,5,FALSE),"")</f>
        <v>018208042166</v>
      </c>
      <c r="K56" s="35">
        <f>IFERROR(VLOOKUP($D56,'Master Sheet'!$B:$AA,8,FALSE),"")</f>
        <v>512.95500000000004</v>
      </c>
      <c r="M56" s="9"/>
    </row>
    <row r="57" spans="1:13" x14ac:dyDescent="0.25">
      <c r="A57" s="10"/>
      <c r="B57" s="31"/>
      <c r="C57" s="31"/>
      <c r="D57" s="53" t="s">
        <v>270</v>
      </c>
      <c r="E57" s="33"/>
      <c r="F57" s="2"/>
      <c r="G57" s="17" t="str">
        <f>IFERROR(VLOOKUP($D57,'Master Sheet'!$B:$AA,3,FALSE),"")</f>
        <v>USB Cable UC-E25</v>
      </c>
      <c r="H57" s="2"/>
      <c r="I57" s="2" t="str">
        <f>IFERROR(VLOOKUP($D57,'Master Sheet'!$B:$AA,2,FALSE),"")</f>
        <v>VDU10801</v>
      </c>
      <c r="J57" s="34" t="str">
        <f>IFERROR(VLOOKUP($D57,'Master Sheet'!$B:$AA,5,FALSE),"")</f>
        <v>018208042234</v>
      </c>
      <c r="K57" s="35">
        <f>IFERROR(VLOOKUP($D57,'Master Sheet'!$B:$AA,8,FALSE),"")</f>
        <v>575.95500000000004</v>
      </c>
      <c r="M57" s="9"/>
    </row>
    <row r="58" spans="1:13" x14ac:dyDescent="0.25">
      <c r="A58" s="10"/>
      <c r="B58" s="31"/>
      <c r="C58" s="31"/>
      <c r="D58" s="53"/>
      <c r="E58" s="33"/>
      <c r="F58" s="2"/>
      <c r="G58" s="17" t="str">
        <f>IFERROR(VLOOKUP($D58,'Master Sheet'!$B:$AA,3,FALSE),"")</f>
        <v/>
      </c>
      <c r="H58" s="2"/>
      <c r="I58" s="2" t="str">
        <f>IFERROR(VLOOKUP($D58,'Master Sheet'!$B:$AA,2,FALSE),"")</f>
        <v/>
      </c>
      <c r="J58" s="34" t="str">
        <f>IFERROR(VLOOKUP($D58,'Master Sheet'!$B:$AA,5,FALSE),"")</f>
        <v/>
      </c>
      <c r="K58" s="35" t="str">
        <f>IFERROR(VLOOKUP($D58,'Master Sheet'!$B:$AA,8,FALSE),"")</f>
        <v/>
      </c>
      <c r="M58" s="9"/>
    </row>
    <row r="59" spans="1:13" x14ac:dyDescent="0.25">
      <c r="A59" s="10"/>
      <c r="B59" s="33"/>
      <c r="C59" s="31"/>
      <c r="D59" s="53"/>
      <c r="E59" s="33"/>
      <c r="F59" s="2"/>
      <c r="G59" s="17" t="str">
        <f>IFERROR(VLOOKUP($D59,'Master Sheet'!$B:$AA,3,FALSE),"")</f>
        <v/>
      </c>
      <c r="H59" s="2"/>
      <c r="I59" s="2" t="str">
        <f>IFERROR(VLOOKUP($D59,'Master Sheet'!$B:$AA,2,FALSE),"")</f>
        <v/>
      </c>
      <c r="J59" s="34" t="str">
        <f>IFERROR(VLOOKUP($D59,'Master Sheet'!$B:$AA,5,FALSE),"")</f>
        <v/>
      </c>
      <c r="K59" s="35" t="str">
        <f>IFERROR(VLOOKUP($D59,'Master Sheet'!$B:$AA,8,FALSE),"")</f>
        <v/>
      </c>
      <c r="M59" s="9"/>
    </row>
    <row r="60" spans="1:13" x14ac:dyDescent="0.25">
      <c r="A60" s="10"/>
      <c r="B60" s="10"/>
      <c r="C60" s="10"/>
      <c r="D60" s="16"/>
      <c r="E60" s="10"/>
      <c r="F60" s="10"/>
      <c r="G60" s="50"/>
      <c r="H60" s="6"/>
      <c r="I60" s="6"/>
      <c r="J60" s="51"/>
      <c r="K60" s="52"/>
      <c r="L60" s="9"/>
      <c r="M60" s="9"/>
    </row>
  </sheetData>
  <mergeCells count="5">
    <mergeCell ref="G20:K20"/>
    <mergeCell ref="D11:D12"/>
    <mergeCell ref="D14:D15"/>
    <mergeCell ref="D17:D18"/>
    <mergeCell ref="D20:D21"/>
  </mergeCells>
  <pageMargins left="0.25" right="0.25" top="0.75" bottom="0.75" header="0.3" footer="0.3"/>
  <pageSetup paperSize="9" scale="81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D53D-D8A7-4EC7-AFF1-9B4471B9DA6F}">
  <sheetPr>
    <pageSetUpPr fitToPage="1"/>
  </sheetPr>
  <dimension ref="A1:P64"/>
  <sheetViews>
    <sheetView showGridLines="0" showRowColHeaders="0" zoomScale="85" zoomScaleNormal="85" workbookViewId="0">
      <selection activeCell="K22" sqref="K22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6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6" x14ac:dyDescent="0.25">
      <c r="A2" s="10"/>
      <c r="B2" s="31"/>
      <c r="C2" s="31"/>
      <c r="D2" s="53"/>
      <c r="E2" s="33"/>
      <c r="F2" s="8"/>
      <c r="G2" s="22"/>
      <c r="H2" s="8"/>
      <c r="J2" s="34"/>
      <c r="K2" s="35"/>
      <c r="M2" s="7"/>
    </row>
    <row r="3" spans="1:16" x14ac:dyDescent="0.25">
      <c r="A3" s="10"/>
      <c r="B3" s="31"/>
      <c r="C3" s="18" t="s">
        <v>0</v>
      </c>
      <c r="D3" s="70"/>
      <c r="E3" s="36"/>
      <c r="F3" s="8"/>
      <c r="G3" s="22"/>
      <c r="H3" s="8"/>
      <c r="J3" s="34"/>
      <c r="K3" s="35"/>
      <c r="M3" s="7"/>
    </row>
    <row r="4" spans="1:16" x14ac:dyDescent="0.25">
      <c r="A4" s="10"/>
      <c r="B4" s="31"/>
      <c r="C4" s="31"/>
      <c r="D4" s="58" t="s">
        <v>1</v>
      </c>
      <c r="E4" s="36"/>
      <c r="F4" s="8"/>
      <c r="G4" s="22"/>
      <c r="H4" s="8"/>
      <c r="J4" s="34"/>
      <c r="K4" s="35"/>
      <c r="M4" s="7"/>
    </row>
    <row r="5" spans="1:16" x14ac:dyDescent="0.25">
      <c r="A5" s="10"/>
      <c r="B5" s="31"/>
      <c r="C5" s="18" t="s">
        <v>2</v>
      </c>
      <c r="D5" s="14"/>
      <c r="E5" s="36"/>
      <c r="F5" s="8"/>
      <c r="G5" s="22"/>
      <c r="H5" s="8"/>
      <c r="J5" s="34"/>
      <c r="K5" s="35"/>
      <c r="M5" s="7"/>
    </row>
    <row r="6" spans="1:16" x14ac:dyDescent="0.25">
      <c r="A6" s="10"/>
      <c r="B6" s="31"/>
      <c r="C6" s="31"/>
      <c r="D6" s="58" t="s">
        <v>648</v>
      </c>
      <c r="E6" s="36"/>
      <c r="F6" s="8"/>
      <c r="G6" s="22"/>
      <c r="H6" s="8"/>
      <c r="J6" s="34"/>
      <c r="K6" s="35"/>
      <c r="M6" s="7"/>
    </row>
    <row r="7" spans="1:16" x14ac:dyDescent="0.25">
      <c r="A7" s="10"/>
      <c r="B7" s="31"/>
      <c r="C7" s="18" t="s">
        <v>3</v>
      </c>
      <c r="D7" s="14"/>
      <c r="E7" s="36"/>
      <c r="F7" s="8"/>
      <c r="G7" s="22"/>
      <c r="H7" s="8"/>
      <c r="J7" s="34"/>
      <c r="K7" s="35"/>
      <c r="M7" s="7"/>
    </row>
    <row r="8" spans="1:16" x14ac:dyDescent="0.25">
      <c r="A8" s="10"/>
      <c r="B8" s="31"/>
      <c r="C8" s="31"/>
      <c r="D8" s="58" t="s">
        <v>42</v>
      </c>
      <c r="E8" s="36"/>
      <c r="F8" s="8"/>
      <c r="G8" s="22"/>
      <c r="H8" s="8"/>
      <c r="J8" s="34"/>
      <c r="K8" s="35"/>
      <c r="M8" s="7"/>
    </row>
    <row r="9" spans="1:16" x14ac:dyDescent="0.25">
      <c r="A9" s="10"/>
      <c r="B9" s="31"/>
      <c r="C9" s="31"/>
      <c r="D9" s="58"/>
      <c r="E9" s="36"/>
      <c r="F9" s="8"/>
      <c r="G9" s="22"/>
      <c r="H9" s="8"/>
      <c r="J9" s="34"/>
      <c r="K9" s="35"/>
      <c r="M9" s="7"/>
    </row>
    <row r="10" spans="1:16" x14ac:dyDescent="0.25">
      <c r="A10" s="10"/>
      <c r="B10" s="31"/>
      <c r="C10" s="18" t="s">
        <v>4</v>
      </c>
      <c r="D10" s="14"/>
      <c r="E10" s="36"/>
      <c r="F10" s="8"/>
      <c r="G10" s="22"/>
      <c r="H10" s="8"/>
      <c r="J10" s="34"/>
      <c r="K10" s="35"/>
      <c r="M10" s="7"/>
    </row>
    <row r="11" spans="1:16" x14ac:dyDescent="0.25">
      <c r="A11" s="10"/>
      <c r="B11" s="31"/>
      <c r="C11" s="37"/>
      <c r="D11" s="93" t="s">
        <v>651</v>
      </c>
      <c r="E11" s="36"/>
      <c r="F11" s="8"/>
      <c r="G11" s="22"/>
      <c r="H11" s="8"/>
      <c r="J11" s="34"/>
      <c r="K11" s="35"/>
      <c r="M11" s="9"/>
    </row>
    <row r="12" spans="1:16" ht="28.15" customHeight="1" x14ac:dyDescent="0.25">
      <c r="A12" s="10"/>
      <c r="B12" s="31"/>
      <c r="C12" s="37"/>
      <c r="D12" s="93"/>
      <c r="E12" s="36"/>
      <c r="F12" s="8"/>
      <c r="G12" s="22"/>
      <c r="H12" s="8"/>
      <c r="J12" s="34"/>
      <c r="K12" s="35"/>
      <c r="M12" s="9"/>
      <c r="P12" s="13"/>
    </row>
    <row r="13" spans="1:16" x14ac:dyDescent="0.25">
      <c r="A13" s="10"/>
      <c r="B13" s="31"/>
      <c r="C13" s="18" t="s">
        <v>5</v>
      </c>
      <c r="D13" s="14"/>
      <c r="E13" s="36"/>
      <c r="F13" s="8"/>
      <c r="G13" s="22"/>
      <c r="H13" s="8"/>
      <c r="J13" s="34"/>
      <c r="K13" s="35"/>
      <c r="M13" s="9"/>
    </row>
    <row r="14" spans="1:16" x14ac:dyDescent="0.25">
      <c r="A14" s="10"/>
      <c r="B14" s="31"/>
      <c r="C14" s="31"/>
      <c r="D14" s="93" t="s">
        <v>790</v>
      </c>
      <c r="E14" s="36"/>
      <c r="F14" s="8"/>
      <c r="G14" s="22"/>
      <c r="H14" s="8"/>
      <c r="J14" s="34"/>
      <c r="K14" s="35"/>
      <c r="M14" s="9"/>
    </row>
    <row r="15" spans="1:16" x14ac:dyDescent="0.25">
      <c r="A15" s="10"/>
      <c r="B15" s="31"/>
      <c r="C15" s="31"/>
      <c r="D15" s="93"/>
      <c r="E15" s="36"/>
      <c r="F15" s="8"/>
      <c r="G15" s="22"/>
      <c r="H15" s="8"/>
      <c r="J15" s="34"/>
      <c r="K15" s="35"/>
      <c r="M15" s="9"/>
    </row>
    <row r="16" spans="1:16" x14ac:dyDescent="0.25">
      <c r="A16" s="10"/>
      <c r="B16" s="31"/>
      <c r="C16" s="18" t="s">
        <v>6</v>
      </c>
      <c r="D16" s="14"/>
      <c r="E16" s="36"/>
      <c r="F16" s="8"/>
      <c r="G16" s="22"/>
      <c r="H16" s="8"/>
      <c r="J16" s="34"/>
      <c r="K16" s="35"/>
      <c r="M16" s="9"/>
    </row>
    <row r="17" spans="1:13" x14ac:dyDescent="0.25">
      <c r="A17" s="10"/>
      <c r="B17" s="31"/>
      <c r="C17" s="31"/>
      <c r="D17" s="93" t="s">
        <v>652</v>
      </c>
      <c r="E17" s="36"/>
      <c r="F17" s="8"/>
      <c r="G17" s="22"/>
      <c r="H17" s="8"/>
      <c r="J17" s="34"/>
      <c r="K17" s="35"/>
      <c r="M17" s="9"/>
    </row>
    <row r="18" spans="1:13" x14ac:dyDescent="0.25">
      <c r="A18" s="10"/>
      <c r="B18" s="31"/>
      <c r="C18" s="31"/>
      <c r="D18" s="93"/>
      <c r="E18" s="36"/>
      <c r="F18" s="8"/>
      <c r="G18" s="22"/>
      <c r="H18" s="8"/>
      <c r="J18" s="34"/>
      <c r="K18" s="35"/>
      <c r="M18" s="9"/>
    </row>
    <row r="19" spans="1:13" ht="13.5" thickBot="1" x14ac:dyDescent="0.3">
      <c r="A19" s="10"/>
      <c r="B19" s="31"/>
      <c r="C19" s="18" t="s">
        <v>7</v>
      </c>
      <c r="D19" s="14"/>
      <c r="E19" s="36"/>
      <c r="F19" s="8"/>
      <c r="G19" s="22"/>
      <c r="H19" s="8"/>
      <c r="J19" s="34"/>
      <c r="K19" s="35"/>
      <c r="M19" s="9"/>
    </row>
    <row r="20" spans="1:13" ht="15" customHeight="1" thickBot="1" x14ac:dyDescent="0.3">
      <c r="A20" s="10"/>
      <c r="B20" s="31"/>
      <c r="C20" s="31"/>
      <c r="D20" s="94" t="s">
        <v>793</v>
      </c>
      <c r="E20" s="36"/>
      <c r="F20" s="8"/>
      <c r="G20" s="90" t="s">
        <v>669</v>
      </c>
      <c r="H20" s="91"/>
      <c r="I20" s="91"/>
      <c r="J20" s="91"/>
      <c r="K20" s="92"/>
      <c r="M20" s="9"/>
    </row>
    <row r="21" spans="1:13" ht="13.5" thickBot="1" x14ac:dyDescent="0.3">
      <c r="A21" s="10"/>
      <c r="B21" s="31"/>
      <c r="C21" s="31"/>
      <c r="D21" s="95"/>
      <c r="E21" s="36"/>
      <c r="F21" s="8"/>
      <c r="G21" s="22"/>
      <c r="H21" s="8"/>
      <c r="J21" s="34"/>
      <c r="K21" s="35"/>
      <c r="M21" s="9"/>
    </row>
    <row r="22" spans="1:13" ht="13.5" thickBot="1" x14ac:dyDescent="0.3">
      <c r="A22" s="10"/>
      <c r="B22" s="31"/>
      <c r="C22" s="39" t="s">
        <v>48</v>
      </c>
      <c r="D22" s="60"/>
      <c r="E22" s="40"/>
      <c r="F22" s="55"/>
      <c r="G22" s="41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3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3" x14ac:dyDescent="0.25">
      <c r="A24" s="10"/>
      <c r="B24" s="31"/>
      <c r="C24" s="31"/>
      <c r="D24" s="53" t="s">
        <v>412</v>
      </c>
      <c r="E24" s="33"/>
      <c r="F24" s="2"/>
      <c r="G24" s="17" t="str">
        <f>IFERROR(VLOOKUP($D24,'Master Sheet'!$B:$AA,3,FALSE),"")</f>
        <v>Nikon Z7 II Mirrorless Digital Camera Body</v>
      </c>
      <c r="H24" s="2"/>
      <c r="I24" s="2" t="str">
        <f>IFERROR(VLOOKUP($D24,'Master Sheet'!$B:$AA,2,FALSE),"")</f>
        <v>VOA070AM</v>
      </c>
      <c r="J24" s="34" t="str">
        <f>IFERROR(VLOOKUP($D24,'Master Sheet'!$B:$AA,5,FALSE),"")</f>
        <v>4960759905734</v>
      </c>
      <c r="K24" s="35">
        <f>IFERROR(VLOOKUP($D24,'Master Sheet'!$B:$AA,8,FALSE),"")</f>
        <v>58697.955000000002</v>
      </c>
      <c r="M24" s="9"/>
    </row>
    <row r="25" spans="1:13" ht="25.5" x14ac:dyDescent="0.25">
      <c r="A25" s="10"/>
      <c r="B25" s="31"/>
      <c r="C25" s="31"/>
      <c r="D25" s="53" t="s">
        <v>808</v>
      </c>
      <c r="E25" s="33"/>
      <c r="F25" s="2"/>
      <c r="G25" s="17" t="str">
        <f>IFERROR(VLOOKUP($D25,'Master Sheet'!$B:$AA,3,FALSE),"")</f>
        <v xml:space="preserve">Nikon Z7 II Mirrorless Digital Camera+NIKKOR Z 24-70mm f/4 S Lens </v>
      </c>
      <c r="H25" s="2"/>
      <c r="I25" s="2">
        <f>IFERROR(VLOOKUP($D25,'Master Sheet'!$B:$AA,2,FALSE),"")</f>
        <v>0</v>
      </c>
      <c r="J25" s="34" t="str">
        <f>IFERROR(VLOOKUP($D25,'Master Sheet'!$B:$AA,5,FALSE),"")</f>
        <v>6009658262246</v>
      </c>
      <c r="K25" s="35">
        <f>IFERROR(VLOOKUP($D25,'Master Sheet'!$B:$AA,8,FALSE),"")</f>
        <v>69650.955000000002</v>
      </c>
      <c r="M25" s="9"/>
    </row>
    <row r="26" spans="1:13" ht="13.5" thickBot="1" x14ac:dyDescent="0.3">
      <c r="A26" s="10"/>
      <c r="B26" s="31"/>
      <c r="C26" s="31"/>
      <c r="D26" s="53"/>
      <c r="E26" s="33"/>
      <c r="F26" s="2"/>
      <c r="G26" s="17" t="str">
        <f>IFERROR(VLOOKUP($D26,'Master Sheet'!$B:$AA,3,FALSE),"")</f>
        <v/>
      </c>
      <c r="H26" s="2"/>
      <c r="I26" s="2" t="str">
        <f>IFERROR(VLOOKUP($D26,'Master Sheet'!$B:$AA,2,FALSE),"")</f>
        <v/>
      </c>
      <c r="J26" s="34" t="str">
        <f>IFERROR(VLOOKUP($D26,'Master Sheet'!$B:$AA,5,FALSE),"")</f>
        <v/>
      </c>
      <c r="K26" s="35" t="str">
        <f>IFERROR(VLOOKUP($D26,'Master Sheet'!$B:$AA,8,FALSE),"")</f>
        <v/>
      </c>
      <c r="M26" s="9"/>
    </row>
    <row r="27" spans="1:13" ht="13.5" thickBot="1" x14ac:dyDescent="0.3">
      <c r="A27" s="10"/>
      <c r="B27" s="31"/>
      <c r="C27" s="46" t="s">
        <v>31</v>
      </c>
      <c r="D27" s="49"/>
      <c r="E27" s="48"/>
      <c r="F27" s="47"/>
      <c r="G27" s="49"/>
      <c r="H27" s="47"/>
      <c r="I27" s="47"/>
      <c r="J27" s="61"/>
      <c r="K27" s="62"/>
      <c r="M27" s="9"/>
    </row>
    <row r="28" spans="1:13" x14ac:dyDescent="0.25">
      <c r="A28" s="10"/>
      <c r="B28" s="31"/>
      <c r="C28" s="31"/>
      <c r="D28" s="53" t="s">
        <v>435</v>
      </c>
      <c r="E28" s="33"/>
      <c r="F28" s="2"/>
      <c r="G28" s="17" t="str">
        <f>IFERROR(VLOOKUP($D28,'Master Sheet'!$B:$AA,3,FALSE),"")</f>
        <v>BF-N1 Body Cap (Z-Series)</v>
      </c>
      <c r="H28" s="2"/>
      <c r="I28" s="2" t="str">
        <f>IFERROR(VLOOKUP($D28,'Master Sheet'!$B:$AA,2,FALSE),"")</f>
        <v>VOD00101</v>
      </c>
      <c r="J28" s="34" t="str">
        <f>IFERROR(VLOOKUP($D28,'Master Sheet'!$B:$AA,5,FALSE),"")</f>
        <v>4960759901002</v>
      </c>
      <c r="K28" s="35">
        <f>IFERROR(VLOOKUP($D28,'Master Sheet'!$B:$AA,8,FALSE),"")</f>
        <v>116.955</v>
      </c>
      <c r="M28" s="9"/>
    </row>
    <row r="29" spans="1:13" ht="13.5" thickBot="1" x14ac:dyDescent="0.3">
      <c r="A29" s="10"/>
      <c r="B29" s="31"/>
      <c r="C29" s="31"/>
      <c r="D29" s="53"/>
      <c r="E29" s="33"/>
      <c r="F29" s="2"/>
      <c r="H29" s="2"/>
      <c r="J29" s="34"/>
      <c r="K29" s="35"/>
      <c r="M29" s="9"/>
    </row>
    <row r="30" spans="1:13" ht="13.5" thickBot="1" x14ac:dyDescent="0.3">
      <c r="A30" s="10"/>
      <c r="B30" s="31"/>
      <c r="C30" s="46" t="s">
        <v>641</v>
      </c>
      <c r="D30" s="49"/>
      <c r="E30" s="48"/>
      <c r="F30" s="47"/>
      <c r="G30" s="49"/>
      <c r="H30" s="47"/>
      <c r="I30" s="47"/>
      <c r="J30" s="61"/>
      <c r="K30" s="62"/>
      <c r="M30" s="9"/>
    </row>
    <row r="31" spans="1:13" x14ac:dyDescent="0.25">
      <c r="A31" s="10"/>
      <c r="B31" s="31"/>
      <c r="C31" s="31"/>
      <c r="D31" s="53" t="s">
        <v>481</v>
      </c>
      <c r="E31" s="33"/>
      <c r="F31" s="2"/>
      <c r="G31" s="17" t="str">
        <f>IFERROR(VLOOKUP($D31,'Master Sheet'!$B:$AA,3,FALSE),"")</f>
        <v>FTZ II Mount Adapter</v>
      </c>
      <c r="H31" s="2"/>
      <c r="I31" s="2" t="str">
        <f>IFERROR(VLOOKUP($D31,'Master Sheet'!$B:$AA,2,FALSE),"")</f>
        <v>JMA905DA</v>
      </c>
      <c r="J31" s="34" t="str">
        <f>IFERROR(VLOOKUP($D31,'Master Sheet'!$B:$AA,5,FALSE),"")</f>
        <v>018208042647</v>
      </c>
      <c r="K31" s="35">
        <f>IFERROR(VLOOKUP($D31,'Master Sheet'!$B:$AA,8,FALSE),"")</f>
        <v>4049.9549999999999</v>
      </c>
      <c r="M31" s="9"/>
    </row>
    <row r="32" spans="1:13" ht="13.5" thickBot="1" x14ac:dyDescent="0.3">
      <c r="A32" s="10"/>
      <c r="B32" s="31"/>
      <c r="C32" s="31"/>
      <c r="D32" s="53"/>
      <c r="E32" s="33"/>
      <c r="F32" s="2"/>
      <c r="G32" s="17" t="str">
        <f>IFERROR(VLOOKUP($D32,'Master Sheet'!$B:$AA,3,FALSE),"")</f>
        <v/>
      </c>
      <c r="H32" s="2"/>
      <c r="I32" s="2" t="str">
        <f>IFERROR(VLOOKUP($D32,'Master Sheet'!$B:$AA,2,FALSE),"")</f>
        <v/>
      </c>
      <c r="J32" s="34" t="str">
        <f>IFERROR(VLOOKUP($D32,'Master Sheet'!$B:$AA,5,FALSE),"")</f>
        <v/>
      </c>
      <c r="K32" s="35" t="str">
        <f>IFERROR(VLOOKUP($D32,'Master Sheet'!$B:$AA,8,FALSE),"")</f>
        <v/>
      </c>
      <c r="M32" s="9"/>
    </row>
    <row r="33" spans="1:13" ht="13.5" thickBot="1" x14ac:dyDescent="0.3">
      <c r="A33" s="10"/>
      <c r="B33" s="31"/>
      <c r="C33" s="46" t="s">
        <v>8</v>
      </c>
      <c r="D33" s="49"/>
      <c r="E33" s="48"/>
      <c r="F33" s="47"/>
      <c r="G33" s="49"/>
      <c r="H33" s="47"/>
      <c r="I33" s="47"/>
      <c r="J33" s="61"/>
      <c r="K33" s="62"/>
      <c r="M33" s="9"/>
    </row>
    <row r="34" spans="1:13" x14ac:dyDescent="0.25">
      <c r="A34" s="10"/>
      <c r="B34" s="31"/>
      <c r="C34" s="31"/>
      <c r="D34" s="53"/>
      <c r="E34" s="33"/>
      <c r="F34" s="2"/>
      <c r="G34" s="17" t="s">
        <v>649</v>
      </c>
      <c r="H34" s="2"/>
      <c r="I34" s="2" t="str">
        <f>IFERROR(VLOOKUP($D34,'Master Sheet'!$B:$AA,2,FALSE),"")</f>
        <v/>
      </c>
      <c r="J34" s="34" t="str">
        <f>IFERROR(VLOOKUP($D34,'Master Sheet'!$B:$AA,5,FALSE),"")</f>
        <v/>
      </c>
      <c r="K34" s="35" t="str">
        <f>IFERROR(VLOOKUP($D34,'Master Sheet'!$B:$AA,8,FALSE),"")</f>
        <v/>
      </c>
      <c r="M34" s="9"/>
    </row>
    <row r="35" spans="1:13" ht="13.5" thickBot="1" x14ac:dyDescent="0.3">
      <c r="A35" s="10"/>
      <c r="B35" s="31"/>
      <c r="C35" s="31"/>
      <c r="D35" s="53"/>
      <c r="E35" s="33"/>
      <c r="F35" s="2"/>
      <c r="G35" s="17" t="str">
        <f>IFERROR(VLOOKUP($D35,'Master Sheet'!$B:$AA,3,FALSE),"")</f>
        <v/>
      </c>
      <c r="H35" s="2"/>
      <c r="I35" s="2" t="str">
        <f>IFERROR(VLOOKUP($D35,'Master Sheet'!$B:$AA,2,FALSE),"")</f>
        <v/>
      </c>
      <c r="J35" s="34" t="str">
        <f>IFERROR(VLOOKUP($D35,'Master Sheet'!$B:$AA,5,FALSE),"")</f>
        <v/>
      </c>
      <c r="K35" s="35" t="str">
        <f>IFERROR(VLOOKUP($D35,'Master Sheet'!$B:$AA,8,FALSE),"")</f>
        <v/>
      </c>
      <c r="M35" s="9"/>
    </row>
    <row r="36" spans="1:13" ht="13.5" thickBot="1" x14ac:dyDescent="0.3">
      <c r="A36" s="10"/>
      <c r="B36" s="31"/>
      <c r="C36" s="46" t="s">
        <v>9</v>
      </c>
      <c r="D36" s="49"/>
      <c r="E36" s="48"/>
      <c r="F36" s="47"/>
      <c r="G36" s="49"/>
      <c r="H36" s="47"/>
      <c r="I36" s="47"/>
      <c r="J36" s="61"/>
      <c r="K36" s="62"/>
      <c r="M36" s="9"/>
    </row>
    <row r="37" spans="1:13" x14ac:dyDescent="0.25">
      <c r="A37" s="10"/>
      <c r="B37" s="31"/>
      <c r="C37" s="31"/>
      <c r="D37" s="53"/>
      <c r="E37" s="33"/>
      <c r="F37" s="2"/>
      <c r="G37" s="17" t="s">
        <v>650</v>
      </c>
      <c r="H37" s="2"/>
      <c r="I37" s="2" t="str">
        <f>IFERROR(VLOOKUP($D37,'Master Sheet'!$B:$AA,2,FALSE),"")</f>
        <v/>
      </c>
      <c r="J37" s="34" t="str">
        <f>IFERROR(VLOOKUP($D37,'Master Sheet'!$B:$AA,5,FALSE),"")</f>
        <v/>
      </c>
      <c r="K37" s="35" t="str">
        <f>IFERROR(VLOOKUP($D37,'Master Sheet'!$B:$AA,8,FALSE),"")</f>
        <v/>
      </c>
      <c r="M37" s="9"/>
    </row>
    <row r="38" spans="1:13" ht="13.5" thickBot="1" x14ac:dyDescent="0.3">
      <c r="A38" s="10"/>
      <c r="B38" s="31"/>
      <c r="C38" s="31"/>
      <c r="D38" s="53"/>
      <c r="E38" s="33"/>
      <c r="F38" s="2"/>
      <c r="G38" s="17" t="str">
        <f>IFERROR(VLOOKUP($D38,'Master Sheet'!$B:$AA,3,FALSE),"")</f>
        <v/>
      </c>
      <c r="H38" s="2"/>
      <c r="I38" s="2" t="str">
        <f>IFERROR(VLOOKUP($D38,'Master Sheet'!$B:$AA,2,FALSE),"")</f>
        <v/>
      </c>
      <c r="J38" s="34" t="str">
        <f>IFERROR(VLOOKUP($D38,'Master Sheet'!$B:$AA,5,FALSE),"")</f>
        <v/>
      </c>
      <c r="K38" s="35" t="str">
        <f>IFERROR(VLOOKUP($D38,'Master Sheet'!$B:$AA,8,FALSE),"")</f>
        <v/>
      </c>
      <c r="M38" s="9"/>
    </row>
    <row r="39" spans="1:13" ht="13.5" thickBot="1" x14ac:dyDescent="0.3">
      <c r="A39" s="10"/>
      <c r="B39" s="31"/>
      <c r="C39" s="46" t="s">
        <v>23</v>
      </c>
      <c r="D39" s="49"/>
      <c r="E39" s="48"/>
      <c r="F39" s="47"/>
      <c r="G39" s="49"/>
      <c r="H39" s="47"/>
      <c r="I39" s="47"/>
      <c r="J39" s="61"/>
      <c r="K39" s="62"/>
      <c r="M39" s="9"/>
    </row>
    <row r="40" spans="1:13" x14ac:dyDescent="0.25">
      <c r="A40" s="10"/>
      <c r="B40" s="31"/>
      <c r="C40" s="31"/>
      <c r="D40" s="53" t="s">
        <v>272</v>
      </c>
      <c r="E40" s="33"/>
      <c r="F40" s="2"/>
      <c r="G40" s="17" t="str">
        <f>IFERROR(VLOOKUP($D40,'Master Sheet'!$B:$AA,3,FALSE),"")</f>
        <v>AC Adapter EH-5d</v>
      </c>
      <c r="H40" s="2"/>
      <c r="I40" s="2" t="str">
        <f>IFERROR(VLOOKUP($D40,'Master Sheet'!$B:$AA,2,FALSE),"")</f>
        <v>VEB033EA</v>
      </c>
      <c r="J40" s="34" t="str">
        <f>IFERROR(VLOOKUP($D40,'Master Sheet'!$B:$AA,5,FALSE),"")</f>
        <v>4960759903143</v>
      </c>
      <c r="K40" s="35">
        <f>IFERROR(VLOOKUP($D40,'Master Sheet'!$B:$AA,8,FALSE),"")</f>
        <v>1736.9550000000002</v>
      </c>
      <c r="M40" s="9"/>
    </row>
    <row r="41" spans="1:13" x14ac:dyDescent="0.25">
      <c r="A41" s="10"/>
      <c r="B41" s="31"/>
      <c r="C41" s="31"/>
      <c r="D41" s="53" t="s">
        <v>690</v>
      </c>
      <c r="E41" s="33"/>
      <c r="F41" s="2"/>
      <c r="G41" s="17" t="str">
        <f>IFERROR(VLOOKUP($D41,'Master Sheet'!$B:$AA,3,FALSE),"")</f>
        <v>Charging AC Adapter EH-7P</v>
      </c>
      <c r="H41" s="2"/>
      <c r="I41" s="2" t="str">
        <f>IFERROR(VLOOKUP($D41,'Master Sheet'!$B:$AA,2,FALSE),"")</f>
        <v>VEB029BA</v>
      </c>
      <c r="J41" s="34" t="str">
        <f>IFERROR(VLOOKUP($D41,'Master Sheet'!$B:$AA,5,FALSE),"")</f>
        <v>4960759901958</v>
      </c>
      <c r="K41" s="35">
        <f>IFERROR(VLOOKUP($D41,'Master Sheet'!$B:$AA,8,FALSE),"")</f>
        <v>917.95500000000004</v>
      </c>
      <c r="M41" s="9"/>
    </row>
    <row r="42" spans="1:13" x14ac:dyDescent="0.25">
      <c r="A42" s="10"/>
      <c r="B42" s="31"/>
      <c r="C42" s="31"/>
      <c r="D42" s="53" t="s">
        <v>367</v>
      </c>
      <c r="E42" s="33"/>
      <c r="F42" s="2"/>
      <c r="G42" s="17" t="str">
        <f>IFERROR(VLOOKUP($D42,'Master Sheet'!$B:$AA,3,FALSE),"")</f>
        <v>EN-EL15C RECHARGEABLE LI-ION BATTERY</v>
      </c>
      <c r="H42" s="2"/>
      <c r="I42" s="2" t="str">
        <f>IFERROR(VLOOKUP($D42,'Master Sheet'!$B:$AA,2,FALSE),"")</f>
        <v>VFB12802</v>
      </c>
      <c r="J42" s="34" t="str">
        <f>IFERROR(VLOOKUP($D42,'Master Sheet'!$B:$AA,5,FALSE),"")</f>
        <v>4960759904393</v>
      </c>
      <c r="K42" s="35">
        <f>IFERROR(VLOOKUP($D42,'Master Sheet'!$B:$AA,8,FALSE),"")</f>
        <v>1439.9550000000002</v>
      </c>
      <c r="M42" s="9"/>
    </row>
    <row r="43" spans="1:13" ht="25.5" x14ac:dyDescent="0.25">
      <c r="A43" s="10"/>
      <c r="B43" s="31"/>
      <c r="C43" s="31"/>
      <c r="D43" s="53" t="s">
        <v>83</v>
      </c>
      <c r="E43" s="33"/>
      <c r="F43" s="2"/>
      <c r="G43" s="17" t="str">
        <f>IFERROR(VLOOKUP($D43,'Master Sheet'!$B:$AA,3,FALSE),"")</f>
        <v>EP-5B POWER CONNECTOR - D7000/D7100/D600/D610/D800/E</v>
      </c>
      <c r="H43" s="2"/>
      <c r="I43" s="2" t="str">
        <f>IFERROR(VLOOKUP($D43,'Master Sheet'!$B:$AA,2,FALSE),"")</f>
        <v>VEB00901</v>
      </c>
      <c r="J43" s="34" t="str">
        <f>IFERROR(VLOOKUP($D43,'Master Sheet'!$B:$AA,5,FALSE),"")</f>
        <v>018208270149</v>
      </c>
      <c r="K43" s="35">
        <f>IFERROR(VLOOKUP($D43,'Master Sheet'!$B:$AA,8,FALSE),"")</f>
        <v>863.95500000000004</v>
      </c>
      <c r="M43" s="9"/>
    </row>
    <row r="44" spans="1:13" x14ac:dyDescent="0.25">
      <c r="A44" s="10"/>
      <c r="B44" s="31"/>
      <c r="C44" s="31"/>
      <c r="D44" s="32" t="s">
        <v>687</v>
      </c>
      <c r="E44" s="33"/>
      <c r="F44" s="2"/>
      <c r="G44" s="2" t="str">
        <f>IFERROR(VLOOKUP($D44,'Master Sheet'!$B:$AA,3,FALSE),"")</f>
        <v>Nikon MB-N10 battery pack for the Z6/Z7</v>
      </c>
      <c r="H44" s="2"/>
      <c r="I44" s="2" t="str">
        <f>IFERROR(VLOOKUP($D44,'Master Sheet'!$B:$AA,2,FALSE),"")</f>
        <v>VFC00801</v>
      </c>
      <c r="J44" s="34" t="str">
        <f>IFERROR(VLOOKUP($D44,'Master Sheet'!$B:$AA,5,FALSE),"")</f>
        <v>018208272044</v>
      </c>
      <c r="K44" s="35">
        <f>IFERROR(VLOOKUP($D44,'Master Sheet'!$B:$AA,8,FALSE),"")</f>
        <v>5039.9549999999999</v>
      </c>
      <c r="M44" s="9"/>
    </row>
    <row r="45" spans="1:13" x14ac:dyDescent="0.25">
      <c r="A45" s="10"/>
      <c r="B45" s="31"/>
      <c r="C45" s="31"/>
      <c r="D45" s="32" t="s">
        <v>688</v>
      </c>
      <c r="E45" s="33"/>
      <c r="F45" s="2"/>
      <c r="G45" s="2" t="str">
        <f>IFERROR(VLOOKUP($D45,'Master Sheet'!$B:$AA,3,FALSE),"")</f>
        <v>Nikon MB-N11 battery pack for the Z6 II/Z7 II</v>
      </c>
      <c r="H45" s="2"/>
      <c r="I45" s="2" t="str">
        <f>IFERROR(VLOOKUP($D45,'Master Sheet'!$B:$AA,2,FALSE),"")</f>
        <v>VFC00901</v>
      </c>
      <c r="J45" s="34" t="str">
        <f>IFERROR(VLOOKUP($D45,'Master Sheet'!$B:$AA,5,FALSE),"")</f>
        <v>018208272150</v>
      </c>
      <c r="K45" s="35">
        <f>IFERROR(VLOOKUP($D45,'Master Sheet'!$B:$AA,8,FALSE),"")</f>
        <v>7559.9550000000008</v>
      </c>
      <c r="M45" s="9"/>
    </row>
    <row r="46" spans="1:13" x14ac:dyDescent="0.25">
      <c r="A46" s="10"/>
      <c r="B46" s="31"/>
      <c r="C46" s="31"/>
      <c r="D46" s="53" t="s">
        <v>24</v>
      </c>
      <c r="E46" s="33"/>
      <c r="F46" s="2"/>
      <c r="G46" s="17" t="str">
        <f>IFERROR(VLOOKUP($D46,'Master Sheet'!$B:$AA,3,FALSE),"")</f>
        <v>MH-25A BATTERY CHARGER - EN-EL15 Battery</v>
      </c>
      <c r="H46" s="2"/>
      <c r="I46" s="2" t="str">
        <f>IFERROR(VLOOKUP($D46,'Master Sheet'!$B:$AA,2,FALSE),"")</f>
        <v>VEA016EA</v>
      </c>
      <c r="J46" s="34" t="str">
        <f>IFERROR(VLOOKUP($D46,'Master Sheet'!$B:$AA,5,FALSE),"")</f>
        <v>018208941704</v>
      </c>
      <c r="K46" s="35">
        <f>IFERROR(VLOOKUP($D46,'Master Sheet'!$B:$AA,8,FALSE),"")</f>
        <v>1106.9550000000002</v>
      </c>
      <c r="M46" s="9"/>
    </row>
    <row r="47" spans="1:13" ht="13.5" thickBot="1" x14ac:dyDescent="0.3">
      <c r="A47" s="10"/>
      <c r="B47" s="31"/>
      <c r="C47" s="31"/>
      <c r="D47" s="53"/>
      <c r="E47" s="33"/>
      <c r="F47" s="2"/>
      <c r="G47" s="17" t="str">
        <f>IFERROR(VLOOKUP($D47,'Master Sheet'!$B:$AA,3,FALSE),"")</f>
        <v/>
      </c>
      <c r="H47" s="2"/>
      <c r="I47" s="2" t="str">
        <f>IFERROR(VLOOKUP($D47,'Master Sheet'!$B:$AA,2,FALSE),"")</f>
        <v/>
      </c>
      <c r="J47" s="34" t="str">
        <f>IFERROR(VLOOKUP($D47,'Master Sheet'!$B:$AA,5,FALSE),"")</f>
        <v/>
      </c>
      <c r="K47" s="35" t="str">
        <f>IFERROR(VLOOKUP($D47,'Master Sheet'!$B:$AA,8,FALSE),"")</f>
        <v/>
      </c>
      <c r="M47" s="9"/>
    </row>
    <row r="48" spans="1:13" ht="13.5" thickBot="1" x14ac:dyDescent="0.3">
      <c r="A48" s="10"/>
      <c r="B48" s="31"/>
      <c r="C48" s="46" t="s">
        <v>29</v>
      </c>
      <c r="D48" s="49"/>
      <c r="E48" s="48"/>
      <c r="F48" s="47"/>
      <c r="G48" s="49"/>
      <c r="H48" s="47"/>
      <c r="I48" s="47"/>
      <c r="J48" s="61"/>
      <c r="K48" s="62"/>
      <c r="M48" s="9"/>
    </row>
    <row r="49" spans="1:13" x14ac:dyDescent="0.25">
      <c r="A49" s="10"/>
      <c r="B49" s="31"/>
      <c r="C49" s="31"/>
      <c r="D49" s="53" t="s">
        <v>898</v>
      </c>
      <c r="E49" s="33"/>
      <c r="F49" s="2"/>
      <c r="G49" s="17" t="str">
        <f>IFERROR(VLOOKUP($D49,'Master Sheet'!$B:$AA,3,FALSE),"")</f>
        <v>Nikon MC-DC3 Remote Release Cord</v>
      </c>
      <c r="H49" s="2"/>
      <c r="I49" s="2" t="str">
        <f>IFERROR(VLOOKUP($D49,'Master Sheet'!$B:$AA,2,FALSE),"")</f>
        <v>VDR01001</v>
      </c>
      <c r="J49" s="34" t="str">
        <f>IFERROR(VLOOKUP($D49,'Master Sheet'!$B:$AA,5,FALSE),"")</f>
        <v>No Barcode</v>
      </c>
      <c r="K49" s="35">
        <f>IFERROR(VLOOKUP($D49,'Master Sheet'!$B:$AA,8,FALSE),"")</f>
        <v>584.95500000000004</v>
      </c>
      <c r="M49" s="9"/>
    </row>
    <row r="50" spans="1:13" x14ac:dyDescent="0.25">
      <c r="A50" s="10"/>
      <c r="B50" s="31"/>
      <c r="C50" s="31"/>
      <c r="D50" s="53" t="s">
        <v>86</v>
      </c>
      <c r="E50" s="33"/>
      <c r="F50" s="2"/>
      <c r="G50" s="17" t="str">
        <f>IFERROR(VLOOKUP($D50,'Master Sheet'!$B:$AA,3,FALSE),"")</f>
        <v>ML-L7 REMOTE CONTROL</v>
      </c>
      <c r="H50" s="2"/>
      <c r="I50" s="2" t="str">
        <f>IFERROR(VLOOKUP($D50,'Master Sheet'!$B:$AA,2,FALSE),"")</f>
        <v>VAJ57201</v>
      </c>
      <c r="J50" s="34" t="str">
        <f>IFERROR(VLOOKUP($D50,'Master Sheet'!$B:$AA,5,FALSE),"")</f>
        <v>018208259526</v>
      </c>
      <c r="K50" s="35">
        <f>IFERROR(VLOOKUP($D50,'Master Sheet'!$B:$AA,8,FALSE),"")</f>
        <v>800.95500000000004</v>
      </c>
      <c r="M50" s="9"/>
    </row>
    <row r="51" spans="1:13" x14ac:dyDescent="0.25">
      <c r="A51" s="10"/>
      <c r="B51" s="31"/>
      <c r="C51" s="31"/>
      <c r="D51" s="53" t="s">
        <v>35</v>
      </c>
      <c r="E51" s="33"/>
      <c r="F51" s="2"/>
      <c r="G51" s="17" t="str">
        <f>IFERROR(VLOOKUP($D51,'Master Sheet'!$B:$AA,3,FALSE),"")</f>
        <v xml:space="preserve">WR-T10 WIRELESS REMOTE TRANSMITTER </v>
      </c>
      <c r="H51" s="2"/>
      <c r="I51" s="2" t="str">
        <f>IFERROR(VLOOKUP($D51,'Master Sheet'!$B:$AA,2,FALSE),"")</f>
        <v>VBJ003AE</v>
      </c>
      <c r="J51" s="34" t="str">
        <f>IFERROR(VLOOKUP($D51,'Master Sheet'!$B:$AA,5,FALSE),"")</f>
        <v>018208933525</v>
      </c>
      <c r="K51" s="35">
        <f>IFERROR(VLOOKUP($D51,'Master Sheet'!$B:$AA,8,FALSE),"")</f>
        <v>1475.9550000000002</v>
      </c>
      <c r="M51" s="9"/>
    </row>
    <row r="52" spans="1:13" ht="13.5" thickBot="1" x14ac:dyDescent="0.3">
      <c r="A52" s="10"/>
      <c r="B52" s="31"/>
      <c r="C52" s="31"/>
      <c r="D52" s="53"/>
      <c r="E52" s="33"/>
      <c r="F52" s="2"/>
      <c r="G52" s="17" t="str">
        <f>IFERROR(VLOOKUP($D52,'Master Sheet'!$B:$AA,3,FALSE),"")</f>
        <v/>
      </c>
      <c r="H52" s="2"/>
      <c r="I52" s="2" t="str">
        <f>IFERROR(VLOOKUP($D52,'Master Sheet'!$B:$AA,2,FALSE),"")</f>
        <v/>
      </c>
      <c r="J52" s="34" t="str">
        <f>IFERROR(VLOOKUP($D52,'Master Sheet'!$B:$AA,5,FALSE),"")</f>
        <v/>
      </c>
      <c r="K52" s="35" t="str">
        <f>IFERROR(VLOOKUP($D52,'Master Sheet'!$B:$AA,8,FALSE),"")</f>
        <v/>
      </c>
      <c r="M52" s="9"/>
    </row>
    <row r="53" spans="1:13" ht="13.5" thickBot="1" x14ac:dyDescent="0.3">
      <c r="A53" s="10"/>
      <c r="B53" s="31"/>
      <c r="C53" s="46" t="s">
        <v>26</v>
      </c>
      <c r="D53" s="49"/>
      <c r="E53" s="48"/>
      <c r="F53" s="47"/>
      <c r="G53" s="49"/>
      <c r="H53" s="47"/>
      <c r="I53" s="47"/>
      <c r="J53" s="61"/>
      <c r="K53" s="62"/>
      <c r="M53" s="9"/>
    </row>
    <row r="54" spans="1:13" x14ac:dyDescent="0.25">
      <c r="A54" s="10"/>
      <c r="B54" s="31"/>
      <c r="C54" s="31"/>
      <c r="D54" s="53" t="s">
        <v>27</v>
      </c>
      <c r="E54" s="33"/>
      <c r="F54" s="2"/>
      <c r="G54" s="17" t="str">
        <f>IFERROR(VLOOKUP($D54,'Master Sheet'!$B:$AA,3,FALSE),"")</f>
        <v>ME-1 STEREO MICROPHONE</v>
      </c>
      <c r="H54" s="2"/>
      <c r="I54" s="2" t="str">
        <f>IFERROR(VLOOKUP($D54,'Master Sheet'!$B:$AA,2,FALSE),"")</f>
        <v>VBW30001</v>
      </c>
      <c r="J54" s="34" t="str">
        <f>IFERROR(VLOOKUP($D54,'Master Sheet'!$B:$AA,5,FALSE),"")</f>
        <v>018208270453</v>
      </c>
      <c r="K54" s="35">
        <f>IFERROR(VLOOKUP($D54,'Master Sheet'!$B:$AA,8,FALSE),"")</f>
        <v>3464.9549999999999</v>
      </c>
      <c r="M54" s="9"/>
    </row>
    <row r="55" spans="1:13" ht="13.5" thickBot="1" x14ac:dyDescent="0.3">
      <c r="A55" s="10"/>
      <c r="B55" s="31"/>
      <c r="C55" s="31"/>
      <c r="D55" s="53"/>
      <c r="E55" s="33"/>
      <c r="F55" s="2"/>
      <c r="G55" s="17" t="str">
        <f>IFERROR(VLOOKUP($D55,'Master Sheet'!$B:$AA,3,FALSE),"")</f>
        <v/>
      </c>
      <c r="H55" s="2"/>
      <c r="I55" s="2" t="str">
        <f>IFERROR(VLOOKUP($D55,'Master Sheet'!$B:$AA,2,FALSE),"")</f>
        <v/>
      </c>
      <c r="J55" s="34" t="str">
        <f>IFERROR(VLOOKUP($D55,'Master Sheet'!$B:$AA,5,FALSE),"")</f>
        <v/>
      </c>
      <c r="K55" s="35" t="str">
        <f>IFERROR(VLOOKUP($D55,'Master Sheet'!$B:$AA,8,FALSE),"")</f>
        <v/>
      </c>
      <c r="M55" s="9"/>
    </row>
    <row r="56" spans="1:13" ht="13.5" thickBot="1" x14ac:dyDescent="0.3">
      <c r="A56" s="10"/>
      <c r="B56" s="31"/>
      <c r="C56" s="46" t="s">
        <v>640</v>
      </c>
      <c r="D56" s="49"/>
      <c r="E56" s="48"/>
      <c r="F56" s="47"/>
      <c r="G56" s="49"/>
      <c r="H56" s="47"/>
      <c r="I56" s="47"/>
      <c r="J56" s="61"/>
      <c r="K56" s="62"/>
      <c r="M56" s="9"/>
    </row>
    <row r="57" spans="1:13" x14ac:dyDescent="0.25">
      <c r="A57" s="10"/>
      <c r="B57" s="31"/>
      <c r="C57" s="31"/>
      <c r="D57" s="53" t="s">
        <v>581</v>
      </c>
      <c r="E57" s="33"/>
      <c r="F57" s="2"/>
      <c r="G57" s="17" t="str">
        <f>IFERROR(VLOOKUP($D57,'Master Sheet'!$B:$AA,3,FALSE),"")</f>
        <v>DK-29  RUBBER EYECUP (Z6 &amp; Z7)</v>
      </c>
      <c r="H57" s="2"/>
      <c r="I57" s="2" t="str">
        <f>IFERROR(VLOOKUP($D57,'Master Sheet'!$B:$AA,2,FALSE),"")</f>
        <v>VOW00201</v>
      </c>
      <c r="J57" s="34" t="str">
        <f>IFERROR(VLOOKUP($D57,'Master Sheet'!$B:$AA,5,FALSE),"")</f>
        <v>018208042210</v>
      </c>
      <c r="K57" s="35">
        <f>IFERROR(VLOOKUP($D57,'Master Sheet'!$B:$AA,8,FALSE),"")</f>
        <v>134.95499999999998</v>
      </c>
      <c r="M57" s="9"/>
    </row>
    <row r="58" spans="1:13" ht="13.5" thickBot="1" x14ac:dyDescent="0.3">
      <c r="A58" s="10"/>
      <c r="B58" s="31"/>
      <c r="C58" s="31"/>
      <c r="D58" s="53"/>
      <c r="E58" s="33"/>
      <c r="F58" s="2"/>
      <c r="G58" s="17" t="str">
        <f>IFERROR(VLOOKUP($D58,'Master Sheet'!$B:$AA,3,FALSE),"")</f>
        <v/>
      </c>
      <c r="H58" s="2"/>
      <c r="I58" s="2" t="str">
        <f>IFERROR(VLOOKUP($D58,'Master Sheet'!$B:$AA,2,FALSE),"")</f>
        <v/>
      </c>
      <c r="J58" s="34" t="str">
        <f>IFERROR(VLOOKUP($D58,'Master Sheet'!$B:$AA,5,FALSE),"")</f>
        <v/>
      </c>
      <c r="K58" s="35" t="str">
        <f>IFERROR(VLOOKUP($D58,'Master Sheet'!$B:$AA,8,FALSE),"")</f>
        <v/>
      </c>
      <c r="M58" s="9"/>
    </row>
    <row r="59" spans="1:13" ht="13.5" thickBot="1" x14ac:dyDescent="0.3">
      <c r="A59" s="10"/>
      <c r="B59" s="31"/>
      <c r="C59" s="46" t="s">
        <v>30</v>
      </c>
      <c r="D59" s="49"/>
      <c r="E59" s="48"/>
      <c r="F59" s="47"/>
      <c r="G59" s="49"/>
      <c r="H59" s="47"/>
      <c r="I59" s="47"/>
      <c r="J59" s="61"/>
      <c r="K59" s="62"/>
      <c r="M59" s="9"/>
    </row>
    <row r="60" spans="1:13" x14ac:dyDescent="0.25">
      <c r="A60" s="10"/>
      <c r="B60" s="31"/>
      <c r="C60" s="31"/>
      <c r="D60" s="53" t="s">
        <v>269</v>
      </c>
      <c r="E60" s="33"/>
      <c r="F60" s="2"/>
      <c r="G60" s="17" t="str">
        <f>IFERROR(VLOOKUP($D60,'Master Sheet'!$B:$AA,3,FALSE),"")</f>
        <v>USB Cable UC-E24</v>
      </c>
      <c r="H60" s="2"/>
      <c r="I60" s="2" t="str">
        <f>IFERROR(VLOOKUP($D60,'Master Sheet'!$B:$AA,2,FALSE),"")</f>
        <v>VDU10701</v>
      </c>
      <c r="J60" s="34" t="str">
        <f>IFERROR(VLOOKUP($D60,'Master Sheet'!$B:$AA,5,FALSE),"")</f>
        <v>018208042166</v>
      </c>
      <c r="K60" s="35">
        <f>IFERROR(VLOOKUP($D60,'Master Sheet'!$B:$AA,8,FALSE),"")</f>
        <v>512.95500000000004</v>
      </c>
      <c r="M60" s="9"/>
    </row>
    <row r="61" spans="1:13" x14ac:dyDescent="0.25">
      <c r="A61" s="10"/>
      <c r="B61" s="31"/>
      <c r="C61" s="31"/>
      <c r="D61" s="53" t="s">
        <v>270</v>
      </c>
      <c r="E61" s="33"/>
      <c r="F61" s="2"/>
      <c r="G61" s="17" t="str">
        <f>IFERROR(VLOOKUP($D61,'Master Sheet'!$B:$AA,3,FALSE),"")</f>
        <v>USB Cable UC-E25</v>
      </c>
      <c r="H61" s="2"/>
      <c r="I61" s="2" t="str">
        <f>IFERROR(VLOOKUP($D61,'Master Sheet'!$B:$AA,2,FALSE),"")</f>
        <v>VDU10801</v>
      </c>
      <c r="J61" s="34" t="str">
        <f>IFERROR(VLOOKUP($D61,'Master Sheet'!$B:$AA,5,FALSE),"")</f>
        <v>018208042234</v>
      </c>
      <c r="K61" s="35">
        <f>IFERROR(VLOOKUP($D61,'Master Sheet'!$B:$AA,8,FALSE),"")</f>
        <v>575.95500000000004</v>
      </c>
      <c r="M61" s="9"/>
    </row>
    <row r="62" spans="1:13" x14ac:dyDescent="0.25">
      <c r="A62" s="10"/>
      <c r="B62" s="31"/>
      <c r="C62" s="31"/>
      <c r="D62" s="53"/>
      <c r="E62" s="33"/>
      <c r="F62" s="2"/>
      <c r="G62" s="17" t="str">
        <f>IFERROR(VLOOKUP($D62,'Master Sheet'!$B:$AA,3,FALSE),"")</f>
        <v/>
      </c>
      <c r="H62" s="2"/>
      <c r="I62" s="2" t="str">
        <f>IFERROR(VLOOKUP($D62,'Master Sheet'!$B:$AA,2,FALSE),"")</f>
        <v/>
      </c>
      <c r="J62" s="34" t="str">
        <f>IFERROR(VLOOKUP($D62,'Master Sheet'!$B:$AA,5,FALSE),"")</f>
        <v/>
      </c>
      <c r="K62" s="35" t="str">
        <f>IFERROR(VLOOKUP($D62,'Master Sheet'!$B:$AA,8,FALSE),"")</f>
        <v/>
      </c>
      <c r="M62" s="9"/>
    </row>
    <row r="63" spans="1:13" x14ac:dyDescent="0.25">
      <c r="A63" s="10"/>
      <c r="B63" s="33"/>
      <c r="C63" s="31"/>
      <c r="D63" s="53"/>
      <c r="E63" s="33"/>
      <c r="F63" s="2"/>
      <c r="G63" s="17" t="str">
        <f>IFERROR(VLOOKUP($D63,'Master Sheet'!$B:$AA,3,FALSE),"")</f>
        <v/>
      </c>
      <c r="H63" s="2"/>
      <c r="I63" s="2" t="str">
        <f>IFERROR(VLOOKUP($D63,'Master Sheet'!$B:$AA,2,FALSE),"")</f>
        <v/>
      </c>
      <c r="J63" s="34" t="str">
        <f>IFERROR(VLOOKUP($D63,'Master Sheet'!$B:$AA,5,FALSE),"")</f>
        <v/>
      </c>
      <c r="K63" s="35" t="str">
        <f>IFERROR(VLOOKUP($D63,'Master Sheet'!$B:$AA,8,FALSE),"")</f>
        <v/>
      </c>
      <c r="M63" s="9"/>
    </row>
    <row r="64" spans="1:13" x14ac:dyDescent="0.25">
      <c r="A64" s="10"/>
      <c r="B64" s="10"/>
      <c r="C64" s="10"/>
      <c r="D64" s="16"/>
      <c r="E64" s="10"/>
      <c r="F64" s="10"/>
      <c r="G64" s="50"/>
      <c r="H64" s="6"/>
      <c r="I64" s="6"/>
      <c r="J64" s="51"/>
      <c r="K64" s="52"/>
      <c r="L64" s="9"/>
      <c r="M64" s="9"/>
    </row>
  </sheetData>
  <sortState xmlns:xlrd2="http://schemas.microsoft.com/office/spreadsheetml/2017/richdata2" ref="D51:D54">
    <sortCondition ref="D51:D54"/>
  </sortState>
  <mergeCells count="5">
    <mergeCell ref="D11:D12"/>
    <mergeCell ref="D14:D15"/>
    <mergeCell ref="D17:D18"/>
    <mergeCell ref="G20:K20"/>
    <mergeCell ref="D20:D21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2370-44E3-4ECF-9370-D71B29E96E96}">
  <sheetPr>
    <pageSetUpPr fitToPage="1"/>
  </sheetPr>
  <dimension ref="A1:M63"/>
  <sheetViews>
    <sheetView showGridLines="0" showRowColHeaders="0" topLeftCell="A17" zoomScale="85" zoomScaleNormal="85" workbookViewId="0">
      <selection activeCell="K22" sqref="K22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53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18" t="s">
        <v>0</v>
      </c>
      <c r="D3" s="70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58" t="s">
        <v>1</v>
      </c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18" t="s">
        <v>2</v>
      </c>
      <c r="D5" s="14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58" t="s">
        <v>654</v>
      </c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18" t="s">
        <v>3</v>
      </c>
      <c r="D7" s="14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1"/>
      <c r="D8" s="58" t="s">
        <v>49</v>
      </c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58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18" t="s">
        <v>4</v>
      </c>
      <c r="D10" s="14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37"/>
      <c r="D11" s="93" t="s">
        <v>864</v>
      </c>
      <c r="E11" s="36"/>
      <c r="F11" s="8"/>
      <c r="G11" s="22"/>
      <c r="H11" s="8"/>
      <c r="J11" s="34"/>
      <c r="K11" s="35"/>
      <c r="M11" s="9"/>
    </row>
    <row r="12" spans="1:13" ht="27.6" customHeight="1" x14ac:dyDescent="0.25">
      <c r="A12" s="10"/>
      <c r="B12" s="31"/>
      <c r="C12" s="37"/>
      <c r="D12" s="93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18" t="s">
        <v>5</v>
      </c>
      <c r="D13" s="14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93" t="s">
        <v>794</v>
      </c>
      <c r="E14" s="36"/>
      <c r="F14" s="8"/>
      <c r="G14" s="22"/>
      <c r="H14" s="8"/>
      <c r="J14" s="34"/>
      <c r="K14" s="35"/>
      <c r="M14" s="9"/>
    </row>
    <row r="15" spans="1:13" x14ac:dyDescent="0.25">
      <c r="A15" s="10"/>
      <c r="B15" s="31"/>
      <c r="C15" s="31"/>
      <c r="D15" s="93"/>
      <c r="E15" s="36"/>
      <c r="F15" s="8"/>
      <c r="G15" s="22"/>
      <c r="H15" s="8"/>
      <c r="J15" s="34"/>
      <c r="K15" s="35"/>
      <c r="M15" s="9"/>
    </row>
    <row r="16" spans="1:13" x14ac:dyDescent="0.25">
      <c r="A16" s="10"/>
      <c r="B16" s="31"/>
      <c r="C16" s="18" t="s">
        <v>6</v>
      </c>
      <c r="D16" s="14"/>
      <c r="E16" s="36"/>
      <c r="F16" s="8"/>
      <c r="G16" s="22"/>
      <c r="H16" s="8"/>
      <c r="J16" s="34"/>
      <c r="K16" s="35"/>
      <c r="M16" s="9"/>
    </row>
    <row r="17" spans="1:13" x14ac:dyDescent="0.25">
      <c r="A17" s="10"/>
      <c r="B17" s="31"/>
      <c r="C17" s="31"/>
      <c r="D17" s="93" t="s">
        <v>645</v>
      </c>
      <c r="E17" s="36"/>
      <c r="F17" s="8"/>
      <c r="G17" s="22"/>
      <c r="H17" s="8"/>
      <c r="J17" s="34"/>
      <c r="K17" s="35"/>
      <c r="M17" s="9"/>
    </row>
    <row r="18" spans="1:13" x14ac:dyDescent="0.25">
      <c r="A18" s="10"/>
      <c r="B18" s="31"/>
      <c r="C18" s="31"/>
      <c r="D18" s="93"/>
      <c r="E18" s="36"/>
      <c r="F18" s="8"/>
      <c r="G18" s="22"/>
      <c r="H18" s="8"/>
      <c r="J18" s="34"/>
      <c r="K18" s="35"/>
      <c r="M18" s="9"/>
    </row>
    <row r="19" spans="1:13" ht="13.5" thickBot="1" x14ac:dyDescent="0.3">
      <c r="A19" s="10"/>
      <c r="B19" s="31"/>
      <c r="C19" s="18" t="s">
        <v>7</v>
      </c>
      <c r="D19" s="14"/>
      <c r="E19" s="36"/>
      <c r="F19" s="8"/>
      <c r="G19" s="22"/>
      <c r="H19" s="8"/>
      <c r="J19" s="34"/>
      <c r="K19" s="35"/>
      <c r="M19" s="9"/>
    </row>
    <row r="20" spans="1:13" ht="13.5" thickBot="1" x14ac:dyDescent="0.3">
      <c r="A20" s="10"/>
      <c r="B20" s="31"/>
      <c r="C20" s="31"/>
      <c r="D20" s="94" t="s">
        <v>865</v>
      </c>
      <c r="E20" s="36"/>
      <c r="F20" s="8"/>
      <c r="G20" s="90" t="s">
        <v>670</v>
      </c>
      <c r="H20" s="91"/>
      <c r="I20" s="91"/>
      <c r="J20" s="91"/>
      <c r="K20" s="92"/>
      <c r="M20" s="9"/>
    </row>
    <row r="21" spans="1:13" ht="13.5" thickBot="1" x14ac:dyDescent="0.3">
      <c r="A21" s="10"/>
      <c r="B21" s="31"/>
      <c r="C21" s="31"/>
      <c r="D21" s="95"/>
      <c r="E21" s="36"/>
      <c r="F21" s="8"/>
      <c r="G21" s="22"/>
      <c r="H21" s="8"/>
      <c r="J21" s="34"/>
      <c r="K21" s="35"/>
      <c r="M21" s="9"/>
    </row>
    <row r="22" spans="1:13" ht="13.5" thickBot="1" x14ac:dyDescent="0.3">
      <c r="A22" s="10"/>
      <c r="B22" s="31"/>
      <c r="C22" s="39" t="s">
        <v>48</v>
      </c>
      <c r="D22" s="60"/>
      <c r="E22" s="40"/>
      <c r="F22" s="55"/>
      <c r="G22" s="41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3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3" x14ac:dyDescent="0.25">
      <c r="A24" s="10"/>
      <c r="B24" s="31"/>
      <c r="C24" s="31"/>
      <c r="D24" s="53" t="s">
        <v>862</v>
      </c>
      <c r="E24" s="33"/>
      <c r="F24" s="2"/>
      <c r="G24" s="17" t="str">
        <f>IFERROR(VLOOKUP($D24,'Master Sheet'!$B:$AA,3,FALSE),"")</f>
        <v>Nikon Z6 III Mirrorless Digital Camera Body</v>
      </c>
      <c r="H24" s="2"/>
      <c r="I24" s="2" t="str">
        <f>IFERROR(VLOOKUP($D24,'Master Sheet'!$B:$AA,2,FALSE),"")</f>
        <v>VOA130AM</v>
      </c>
      <c r="J24" s="34">
        <f>IFERROR(VLOOKUP($D24,'Master Sheet'!$B:$AA,5,FALSE),"")</f>
        <v>4960759916204</v>
      </c>
      <c r="K24" s="35">
        <f>IFERROR(VLOOKUP($D24,'Master Sheet'!$B:$AA,8,FALSE),"")</f>
        <v>43046.955000000002</v>
      </c>
      <c r="M24" s="9"/>
    </row>
    <row r="25" spans="1:13" ht="13.5" thickBot="1" x14ac:dyDescent="0.3">
      <c r="A25" s="10"/>
      <c r="B25" s="31"/>
      <c r="C25" s="31"/>
      <c r="D25" s="53"/>
      <c r="E25" s="33"/>
      <c r="F25" s="2"/>
      <c r="G25" s="17" t="str">
        <f>IFERROR(VLOOKUP($D25,'Master Sheet'!$B:$AA,3,FALSE),"")</f>
        <v/>
      </c>
      <c r="H25" s="2"/>
      <c r="I25" s="2" t="str">
        <f>IFERROR(VLOOKUP($D25,'Master Sheet'!$B:$AA,2,FALSE),"")</f>
        <v/>
      </c>
      <c r="J25" s="34" t="str">
        <f>IFERROR(VLOOKUP($D25,'Master Sheet'!$B:$AA,5,FALSE),"")</f>
        <v/>
      </c>
      <c r="K25" s="35" t="str">
        <f>IFERROR(VLOOKUP($D25,'Master Sheet'!$B:$AA,8,FALSE),"")</f>
        <v/>
      </c>
      <c r="M25" s="9"/>
    </row>
    <row r="26" spans="1:13" ht="13.5" thickBot="1" x14ac:dyDescent="0.3">
      <c r="A26" s="10"/>
      <c r="B26" s="31"/>
      <c r="C26" s="46" t="s">
        <v>31</v>
      </c>
      <c r="D26" s="49"/>
      <c r="E26" s="48"/>
      <c r="F26" s="47"/>
      <c r="G26" s="49"/>
      <c r="H26" s="47"/>
      <c r="I26" s="47"/>
      <c r="J26" s="61"/>
      <c r="K26" s="62"/>
      <c r="M26" s="9"/>
    </row>
    <row r="27" spans="1:13" x14ac:dyDescent="0.25">
      <c r="A27" s="10"/>
      <c r="B27" s="31"/>
      <c r="C27" s="31"/>
      <c r="D27" s="32" t="s">
        <v>435</v>
      </c>
      <c r="E27" s="33"/>
      <c r="F27" s="2"/>
      <c r="G27" s="17" t="str">
        <f>IFERROR(VLOOKUP($D27,'Master Sheet'!$B:$AA,3,FALSE),"")</f>
        <v>BF-N1 Body Cap (Z-Series)</v>
      </c>
      <c r="H27" s="2"/>
      <c r="I27" s="2" t="str">
        <f>IFERROR(VLOOKUP($D27,'Master Sheet'!$B:$AA,2,FALSE),"")</f>
        <v>VOD00101</v>
      </c>
      <c r="J27" s="34" t="str">
        <f>IFERROR(VLOOKUP($D27,'Master Sheet'!$B:$AA,5,FALSE),"")</f>
        <v>4960759901002</v>
      </c>
      <c r="K27" s="35">
        <f>IFERROR(VLOOKUP($D27,'Master Sheet'!$B:$AA,8,FALSE),"")</f>
        <v>116.955</v>
      </c>
      <c r="M27" s="9"/>
    </row>
    <row r="28" spans="1:13" ht="13.5" thickBot="1" x14ac:dyDescent="0.3">
      <c r="A28" s="10"/>
      <c r="B28" s="31"/>
      <c r="C28" s="31"/>
      <c r="D28" s="53"/>
      <c r="E28" s="33"/>
      <c r="F28" s="2"/>
      <c r="H28" s="2"/>
      <c r="J28" s="34"/>
      <c r="K28" s="35"/>
      <c r="M28" s="9"/>
    </row>
    <row r="29" spans="1:13" ht="13.5" thickBot="1" x14ac:dyDescent="0.3">
      <c r="A29" s="10"/>
      <c r="B29" s="31"/>
      <c r="C29" s="46" t="s">
        <v>641</v>
      </c>
      <c r="D29" s="49"/>
      <c r="E29" s="48"/>
      <c r="F29" s="47"/>
      <c r="G29" s="49"/>
      <c r="H29" s="47"/>
      <c r="I29" s="47"/>
      <c r="J29" s="61"/>
      <c r="K29" s="62"/>
      <c r="M29" s="9"/>
    </row>
    <row r="30" spans="1:13" x14ac:dyDescent="0.25">
      <c r="A30" s="10"/>
      <c r="B30" s="31"/>
      <c r="C30" s="31"/>
      <c r="D30" s="53" t="s">
        <v>481</v>
      </c>
      <c r="E30" s="33"/>
      <c r="F30" s="2"/>
      <c r="G30" s="17" t="str">
        <f>IFERROR(VLOOKUP($D30,'Master Sheet'!$B:$AA,3,FALSE),"")</f>
        <v>FTZ II Mount Adapter</v>
      </c>
      <c r="H30" s="2"/>
      <c r="I30" s="2" t="str">
        <f>IFERROR(VLOOKUP($D30,'Master Sheet'!$B:$AA,2,FALSE),"")</f>
        <v>JMA905DA</v>
      </c>
      <c r="J30" s="34" t="str">
        <f>IFERROR(VLOOKUP($D30,'Master Sheet'!$B:$AA,5,FALSE),"")</f>
        <v>018208042647</v>
      </c>
      <c r="K30" s="35">
        <f>IFERROR(VLOOKUP($D30,'Master Sheet'!$B:$AA,8,FALSE),"")</f>
        <v>4049.9549999999999</v>
      </c>
      <c r="M30" s="9"/>
    </row>
    <row r="31" spans="1:13" ht="13.5" thickBot="1" x14ac:dyDescent="0.3">
      <c r="A31" s="10"/>
      <c r="B31" s="31"/>
      <c r="C31" s="31"/>
      <c r="D31" s="53"/>
      <c r="E31" s="33"/>
      <c r="F31" s="2"/>
      <c r="G31" s="17" t="str">
        <f>IFERROR(VLOOKUP($D31,'Master Sheet'!$B:$AA,3,FALSE),"")</f>
        <v/>
      </c>
      <c r="H31" s="2"/>
      <c r="I31" s="2" t="str">
        <f>IFERROR(VLOOKUP($D31,'Master Sheet'!$B:$AA,2,FALSE),"")</f>
        <v/>
      </c>
      <c r="J31" s="34" t="str">
        <f>IFERROR(VLOOKUP($D31,'Master Sheet'!$B:$AA,5,FALSE),"")</f>
        <v/>
      </c>
      <c r="K31" s="35" t="str">
        <f>IFERROR(VLOOKUP($D31,'Master Sheet'!$B:$AA,8,FALSE),"")</f>
        <v/>
      </c>
      <c r="M31" s="9"/>
    </row>
    <row r="32" spans="1:13" ht="13.5" thickBot="1" x14ac:dyDescent="0.3">
      <c r="A32" s="10"/>
      <c r="B32" s="31"/>
      <c r="C32" s="46" t="s">
        <v>8</v>
      </c>
      <c r="D32" s="76"/>
      <c r="E32" s="48"/>
      <c r="F32" s="47"/>
      <c r="G32" s="49"/>
      <c r="H32" s="47"/>
      <c r="I32" s="47"/>
      <c r="J32" s="61"/>
      <c r="K32" s="62"/>
      <c r="M32" s="9"/>
    </row>
    <row r="33" spans="1:13" x14ac:dyDescent="0.25">
      <c r="A33" s="10"/>
      <c r="B33" s="31"/>
      <c r="C33" s="31"/>
      <c r="D33" s="53"/>
      <c r="E33" s="33"/>
      <c r="F33" s="2"/>
      <c r="G33" s="17" t="s">
        <v>649</v>
      </c>
      <c r="H33" s="2"/>
      <c r="I33" s="2" t="str">
        <f>IFERROR(VLOOKUP($D33,'Master Sheet'!$B:$AA,2,FALSE),"")</f>
        <v/>
      </c>
      <c r="J33" s="34" t="str">
        <f>IFERROR(VLOOKUP($D33,'Master Sheet'!$B:$AA,5,FALSE),"")</f>
        <v/>
      </c>
      <c r="K33" s="35" t="str">
        <f>IFERROR(VLOOKUP($D33,'Master Sheet'!$B:$AA,8,FALSE),"")</f>
        <v/>
      </c>
      <c r="M33" s="9"/>
    </row>
    <row r="34" spans="1:13" ht="13.5" thickBot="1" x14ac:dyDescent="0.3">
      <c r="A34" s="10"/>
      <c r="B34" s="31"/>
      <c r="C34" s="31"/>
      <c r="D34" s="53"/>
      <c r="E34" s="33"/>
      <c r="F34" s="2"/>
      <c r="G34" s="17" t="str">
        <f>IFERROR(VLOOKUP($D34,'Master Sheet'!$B:$AA,3,FALSE),"")</f>
        <v/>
      </c>
      <c r="H34" s="2"/>
      <c r="I34" s="2" t="str">
        <f>IFERROR(VLOOKUP($D34,'Master Sheet'!$B:$AA,2,FALSE),"")</f>
        <v/>
      </c>
      <c r="J34" s="34" t="str">
        <f>IFERROR(VLOOKUP($D34,'Master Sheet'!$B:$AA,5,FALSE),"")</f>
        <v/>
      </c>
      <c r="K34" s="35" t="str">
        <f>IFERROR(VLOOKUP($D34,'Master Sheet'!$B:$AA,8,FALSE),"")</f>
        <v/>
      </c>
      <c r="M34" s="9"/>
    </row>
    <row r="35" spans="1:13" ht="13.5" thickBot="1" x14ac:dyDescent="0.3">
      <c r="A35" s="10"/>
      <c r="B35" s="31"/>
      <c r="C35" s="46" t="s">
        <v>9</v>
      </c>
      <c r="D35" s="76"/>
      <c r="E35" s="48"/>
      <c r="F35" s="47"/>
      <c r="G35" s="49"/>
      <c r="H35" s="47"/>
      <c r="I35" s="47"/>
      <c r="J35" s="61"/>
      <c r="K35" s="62"/>
      <c r="M35" s="9"/>
    </row>
    <row r="36" spans="1:13" x14ac:dyDescent="0.25">
      <c r="A36" s="10"/>
      <c r="B36" s="31"/>
      <c r="C36" s="31"/>
      <c r="D36" s="53"/>
      <c r="E36" s="33"/>
      <c r="F36" s="2"/>
      <c r="G36" s="17" t="s">
        <v>650</v>
      </c>
      <c r="H36" s="2"/>
      <c r="I36" s="2" t="str">
        <f>IFERROR(VLOOKUP($D36,'Master Sheet'!$B:$AA,2,FALSE),"")</f>
        <v/>
      </c>
      <c r="J36" s="34" t="str">
        <f>IFERROR(VLOOKUP($D36,'Master Sheet'!$B:$AA,5,FALSE),"")</f>
        <v/>
      </c>
      <c r="K36" s="35" t="str">
        <f>IFERROR(VLOOKUP($D36,'Master Sheet'!$B:$AA,8,FALSE),"")</f>
        <v/>
      </c>
      <c r="M36" s="9"/>
    </row>
    <row r="37" spans="1:13" ht="13.5" thickBot="1" x14ac:dyDescent="0.3">
      <c r="A37" s="10"/>
      <c r="B37" s="31"/>
      <c r="C37" s="31"/>
      <c r="D37" s="53"/>
      <c r="E37" s="33"/>
      <c r="F37" s="2"/>
      <c r="G37" s="17" t="str">
        <f>IFERROR(VLOOKUP($D37,'Master Sheet'!$B:$AA,3,FALSE),"")</f>
        <v/>
      </c>
      <c r="H37" s="2"/>
      <c r="I37" s="2" t="str">
        <f>IFERROR(VLOOKUP($D37,'Master Sheet'!$B:$AA,2,FALSE),"")</f>
        <v/>
      </c>
      <c r="J37" s="34" t="str">
        <f>IFERROR(VLOOKUP($D37,'Master Sheet'!$B:$AA,5,FALSE),"")</f>
        <v/>
      </c>
      <c r="K37" s="35" t="str">
        <f>IFERROR(VLOOKUP($D37,'Master Sheet'!$B:$AA,8,FALSE),"")</f>
        <v/>
      </c>
      <c r="M37" s="9"/>
    </row>
    <row r="38" spans="1:13" ht="13.5" thickBot="1" x14ac:dyDescent="0.3">
      <c r="A38" s="10"/>
      <c r="B38" s="31"/>
      <c r="C38" s="46" t="s">
        <v>23</v>
      </c>
      <c r="D38" s="76"/>
      <c r="E38" s="48"/>
      <c r="F38" s="47"/>
      <c r="G38" s="49"/>
      <c r="H38" s="47"/>
      <c r="I38" s="47"/>
      <c r="J38" s="61"/>
      <c r="K38" s="62"/>
      <c r="M38" s="9"/>
    </row>
    <row r="39" spans="1:13" x14ac:dyDescent="0.25">
      <c r="A39" s="10"/>
      <c r="B39" s="31"/>
      <c r="C39" s="31"/>
      <c r="D39" s="32" t="s">
        <v>272</v>
      </c>
      <c r="E39" s="33"/>
      <c r="F39" s="2"/>
      <c r="G39" s="17" t="str">
        <f>IFERROR(VLOOKUP($D39,'Master Sheet'!$B:$AA,3,FALSE),"")</f>
        <v>AC Adapter EH-5d</v>
      </c>
      <c r="H39" s="2"/>
      <c r="I39" s="2" t="str">
        <f>IFERROR(VLOOKUP($D39,'Master Sheet'!$B:$AA,2,FALSE),"")</f>
        <v>VEB033EA</v>
      </c>
      <c r="J39" s="34" t="str">
        <f>IFERROR(VLOOKUP($D39,'Master Sheet'!$B:$AA,5,FALSE),"")</f>
        <v>4960759903143</v>
      </c>
      <c r="K39" s="35">
        <f>IFERROR(VLOOKUP($D39,'Master Sheet'!$B:$AA,8,FALSE),"")</f>
        <v>1736.9550000000002</v>
      </c>
      <c r="M39" s="9"/>
    </row>
    <row r="40" spans="1:13" x14ac:dyDescent="0.25">
      <c r="A40" s="10"/>
      <c r="B40" s="31"/>
      <c r="C40" s="31"/>
      <c r="D40" s="32" t="s">
        <v>690</v>
      </c>
      <c r="E40" s="33"/>
      <c r="F40" s="2"/>
      <c r="G40" s="17" t="str">
        <f>IFERROR(VLOOKUP($D40,'Master Sheet'!$B:$AA,3,FALSE),"")</f>
        <v>Charging AC Adapter EH-7P</v>
      </c>
      <c r="H40" s="2"/>
      <c r="I40" s="2" t="str">
        <f>IFERROR(VLOOKUP($D40,'Master Sheet'!$B:$AA,2,FALSE),"")</f>
        <v>VEB029BA</v>
      </c>
      <c r="J40" s="34" t="str">
        <f>IFERROR(VLOOKUP($D40,'Master Sheet'!$B:$AA,5,FALSE),"")</f>
        <v>4960759901958</v>
      </c>
      <c r="K40" s="35">
        <f>IFERROR(VLOOKUP($D40,'Master Sheet'!$B:$AA,8,FALSE),"")</f>
        <v>917.95500000000004</v>
      </c>
      <c r="M40" s="9"/>
    </row>
    <row r="41" spans="1:13" x14ac:dyDescent="0.25">
      <c r="A41" s="10"/>
      <c r="B41" s="31"/>
      <c r="C41" s="31"/>
      <c r="D41" s="32" t="s">
        <v>367</v>
      </c>
      <c r="E41" s="33"/>
      <c r="F41" s="2"/>
      <c r="G41" s="17" t="str">
        <f>IFERROR(VLOOKUP($D41,'Master Sheet'!$B:$AA,3,FALSE),"")</f>
        <v>EN-EL15C RECHARGEABLE LI-ION BATTERY</v>
      </c>
      <c r="H41" s="2"/>
      <c r="I41" s="2" t="str">
        <f>IFERROR(VLOOKUP($D41,'Master Sheet'!$B:$AA,2,FALSE),"")</f>
        <v>VFB12802</v>
      </c>
      <c r="J41" s="34" t="str">
        <f>IFERROR(VLOOKUP($D41,'Master Sheet'!$B:$AA,5,FALSE),"")</f>
        <v>4960759904393</v>
      </c>
      <c r="K41" s="35">
        <f>IFERROR(VLOOKUP($D41,'Master Sheet'!$B:$AA,8,FALSE),"")</f>
        <v>1439.9550000000002</v>
      </c>
      <c r="M41" s="9"/>
    </row>
    <row r="42" spans="1:13" ht="25.5" x14ac:dyDescent="0.25">
      <c r="A42" s="10"/>
      <c r="B42" s="31"/>
      <c r="C42" s="31"/>
      <c r="D42" s="32" t="s">
        <v>83</v>
      </c>
      <c r="E42" s="33"/>
      <c r="F42" s="2"/>
      <c r="G42" s="17" t="str">
        <f>IFERROR(VLOOKUP($D42,'Master Sheet'!$B:$AA,3,FALSE),"")</f>
        <v>EP-5B POWER CONNECTOR - D7000/D7100/D600/D610/D800/E</v>
      </c>
      <c r="H42" s="2"/>
      <c r="I42" s="2" t="str">
        <f>IFERROR(VLOOKUP($D42,'Master Sheet'!$B:$AA,2,FALSE),"")</f>
        <v>VEB00901</v>
      </c>
      <c r="J42" s="34" t="str">
        <f>IFERROR(VLOOKUP($D42,'Master Sheet'!$B:$AA,5,FALSE),"")</f>
        <v>018208270149</v>
      </c>
      <c r="K42" s="35">
        <f>IFERROR(VLOOKUP($D42,'Master Sheet'!$B:$AA,8,FALSE),"")</f>
        <v>863.95500000000004</v>
      </c>
      <c r="M42" s="9"/>
    </row>
    <row r="43" spans="1:13" x14ac:dyDescent="0.25">
      <c r="A43" s="10"/>
      <c r="B43" s="31"/>
      <c r="C43" s="31"/>
      <c r="D43" s="53" t="s">
        <v>896</v>
      </c>
      <c r="E43" s="33"/>
      <c r="F43" s="2"/>
      <c r="G43" s="17" t="str">
        <f>IFERROR(VLOOKUP($D43,'Master Sheet'!$B:$AA,3,FALSE),"")</f>
        <v>Nikon MB-N14 Power battery pack for the Z6III</v>
      </c>
      <c r="H43" s="2"/>
      <c r="I43" s="2" t="str">
        <f>IFERROR(VLOOKUP($D43,'Master Sheet'!$B:$AA,2,FALSE),"")</f>
        <v>VFC01101</v>
      </c>
      <c r="J43" s="34" t="str">
        <f>IFERROR(VLOOKUP($D43,'Master Sheet'!$B:$AA,5,FALSE),"")</f>
        <v>018208272402</v>
      </c>
      <c r="K43" s="35">
        <f>IFERROR(VLOOKUP($D43,'Master Sheet'!$B:$AA,8,FALSE),"")</f>
        <v>8279.9550000000017</v>
      </c>
      <c r="M43" s="9"/>
    </row>
    <row r="44" spans="1:13" x14ac:dyDescent="0.25">
      <c r="A44" s="10"/>
      <c r="B44" s="31"/>
      <c r="C44" s="31"/>
      <c r="D44" s="32" t="s">
        <v>24</v>
      </c>
      <c r="E44" s="33"/>
      <c r="F44" s="2"/>
      <c r="G44" s="17" t="str">
        <f>IFERROR(VLOOKUP($D44,'Master Sheet'!$B:$AA,3,FALSE),"")</f>
        <v>MH-25A BATTERY CHARGER - EN-EL15 Battery</v>
      </c>
      <c r="H44" s="2"/>
      <c r="I44" s="2" t="str">
        <f>IFERROR(VLOOKUP($D44,'Master Sheet'!$B:$AA,2,FALSE),"")</f>
        <v>VEA016EA</v>
      </c>
      <c r="J44" s="34" t="str">
        <f>IFERROR(VLOOKUP($D44,'Master Sheet'!$B:$AA,5,FALSE),"")</f>
        <v>018208941704</v>
      </c>
      <c r="K44" s="35">
        <f>IFERROR(VLOOKUP($D44,'Master Sheet'!$B:$AA,8,FALSE),"")</f>
        <v>1106.9550000000002</v>
      </c>
      <c r="M44" s="9"/>
    </row>
    <row r="45" spans="1:13" ht="13.5" thickBot="1" x14ac:dyDescent="0.3">
      <c r="A45" s="10"/>
      <c r="B45" s="31"/>
      <c r="C45" s="31"/>
      <c r="D45" s="53"/>
      <c r="E45" s="33"/>
      <c r="F45" s="2"/>
      <c r="G45" s="17" t="str">
        <f>IFERROR(VLOOKUP($D45,'Master Sheet'!$B:$AA,3,FALSE),"")</f>
        <v/>
      </c>
      <c r="H45" s="2"/>
      <c r="I45" s="2" t="str">
        <f>IFERROR(VLOOKUP($D45,'Master Sheet'!$B:$AA,2,FALSE),"")</f>
        <v/>
      </c>
      <c r="J45" s="34" t="str">
        <f>IFERROR(VLOOKUP($D45,'Master Sheet'!$B:$AA,5,FALSE),"")</f>
        <v/>
      </c>
      <c r="K45" s="35" t="str">
        <f>IFERROR(VLOOKUP($D45,'Master Sheet'!$B:$AA,8,FALSE),"")</f>
        <v/>
      </c>
      <c r="M45" s="9"/>
    </row>
    <row r="46" spans="1:13" ht="13.5" thickBot="1" x14ac:dyDescent="0.3">
      <c r="A46" s="10"/>
      <c r="B46" s="31"/>
      <c r="C46" s="46" t="s">
        <v>29</v>
      </c>
      <c r="D46" s="76"/>
      <c r="E46" s="48"/>
      <c r="F46" s="47"/>
      <c r="G46" s="49"/>
      <c r="H46" s="47"/>
      <c r="I46" s="47"/>
      <c r="J46" s="61"/>
      <c r="K46" s="62"/>
      <c r="M46" s="9"/>
    </row>
    <row r="47" spans="1:13" x14ac:dyDescent="0.25">
      <c r="A47" s="10"/>
      <c r="B47" s="31"/>
      <c r="C47" s="31"/>
      <c r="D47" s="32" t="s">
        <v>619</v>
      </c>
      <c r="E47" s="33"/>
      <c r="F47" s="2"/>
      <c r="G47" s="17" t="str">
        <f>IFERROR(VLOOKUP($D47,'Master Sheet'!$B:$AA,3,FALSE),"")</f>
        <v>Nikon MC-N10 Remote Grip</v>
      </c>
      <c r="H47" s="2"/>
      <c r="I47" s="2" t="str">
        <f>IFERROR(VLOOKUP($D47,'Master Sheet'!$B:$AA,2,FALSE),"")</f>
        <v>VDR009AA</v>
      </c>
      <c r="J47" s="34" t="str">
        <f>IFERROR(VLOOKUP($D47,'Master Sheet'!$B:$AA,5,FALSE),"")</f>
        <v>018208272303</v>
      </c>
      <c r="K47" s="35">
        <f>IFERROR(VLOOKUP($D47,'Master Sheet'!$B:$AA,8,FALSE),"")</f>
        <v>9629.9550000000017</v>
      </c>
      <c r="M47" s="9"/>
    </row>
    <row r="48" spans="1:13" x14ac:dyDescent="0.25">
      <c r="A48" s="10"/>
      <c r="B48" s="31"/>
      <c r="C48" s="31"/>
      <c r="D48" s="32" t="s">
        <v>898</v>
      </c>
      <c r="E48" s="33"/>
      <c r="F48" s="2"/>
      <c r="G48" s="17" t="str">
        <f>IFERROR(VLOOKUP($D48,'Master Sheet'!$B:$AA,3,FALSE),"")</f>
        <v>Nikon MC-DC3 Remote Release Cord</v>
      </c>
      <c r="H48" s="2"/>
      <c r="I48" s="2" t="str">
        <f>IFERROR(VLOOKUP($D48,'Master Sheet'!$B:$AA,2,FALSE),"")</f>
        <v>VDR01001</v>
      </c>
      <c r="J48" s="34" t="str">
        <f>IFERROR(VLOOKUP($D48,'Master Sheet'!$B:$AA,5,FALSE),"")</f>
        <v>No Barcode</v>
      </c>
      <c r="K48" s="35">
        <f>IFERROR(VLOOKUP($D48,'Master Sheet'!$B:$AA,8,FALSE),"")</f>
        <v>584.95500000000004</v>
      </c>
      <c r="M48" s="9"/>
    </row>
    <row r="49" spans="1:13" x14ac:dyDescent="0.25">
      <c r="A49" s="10"/>
      <c r="B49" s="31"/>
      <c r="C49" s="31"/>
      <c r="D49" s="32" t="s">
        <v>86</v>
      </c>
      <c r="E49" s="33"/>
      <c r="F49" s="2"/>
      <c r="G49" s="17" t="str">
        <f>IFERROR(VLOOKUP($D49,'Master Sheet'!$B:$AA,3,FALSE),"")</f>
        <v>ML-L7 REMOTE CONTROL</v>
      </c>
      <c r="H49" s="2"/>
      <c r="I49" s="2" t="str">
        <f>IFERROR(VLOOKUP($D49,'Master Sheet'!$B:$AA,2,FALSE),"")</f>
        <v>VAJ57201</v>
      </c>
      <c r="J49" s="34" t="str">
        <f>IFERROR(VLOOKUP($D49,'Master Sheet'!$B:$AA,5,FALSE),"")</f>
        <v>018208259526</v>
      </c>
      <c r="K49" s="35">
        <f>IFERROR(VLOOKUP($D49,'Master Sheet'!$B:$AA,8,FALSE),"")</f>
        <v>800.95500000000004</v>
      </c>
      <c r="M49" s="9"/>
    </row>
    <row r="50" spans="1:13" x14ac:dyDescent="0.25">
      <c r="A50" s="10"/>
      <c r="B50" s="31"/>
      <c r="C50" s="31"/>
      <c r="D50" s="32" t="s">
        <v>35</v>
      </c>
      <c r="E50" s="33"/>
      <c r="F50" s="2"/>
      <c r="G50" s="17" t="str">
        <f>IFERROR(VLOOKUP($D50,'Master Sheet'!$B:$AA,3,FALSE),"")</f>
        <v xml:space="preserve">WR-T10 WIRELESS REMOTE TRANSMITTER </v>
      </c>
      <c r="H50" s="2"/>
      <c r="I50" s="2" t="str">
        <f>IFERROR(VLOOKUP($D50,'Master Sheet'!$B:$AA,2,FALSE),"")</f>
        <v>VBJ003AE</v>
      </c>
      <c r="J50" s="34" t="str">
        <f>IFERROR(VLOOKUP($D50,'Master Sheet'!$B:$AA,5,FALSE),"")</f>
        <v>018208933525</v>
      </c>
      <c r="K50" s="35">
        <f>IFERROR(VLOOKUP($D50,'Master Sheet'!$B:$AA,8,FALSE),"")</f>
        <v>1475.9550000000002</v>
      </c>
      <c r="M50" s="9"/>
    </row>
    <row r="51" spans="1:13" ht="13.5" thickBot="1" x14ac:dyDescent="0.3">
      <c r="A51" s="10"/>
      <c r="B51" s="31"/>
      <c r="C51" s="31"/>
      <c r="D51" s="53"/>
      <c r="E51" s="33"/>
      <c r="F51" s="2"/>
      <c r="G51" s="17" t="str">
        <f>IFERROR(VLOOKUP($D51,'Master Sheet'!$B:$AA,3,FALSE),"")</f>
        <v/>
      </c>
      <c r="H51" s="2"/>
      <c r="I51" s="2" t="str">
        <f>IFERROR(VLOOKUP($D51,'Master Sheet'!$B:$AA,2,FALSE),"")</f>
        <v/>
      </c>
      <c r="J51" s="34" t="str">
        <f>IFERROR(VLOOKUP($D51,'Master Sheet'!$B:$AA,5,FALSE),"")</f>
        <v/>
      </c>
      <c r="K51" s="35" t="str">
        <f>IFERROR(VLOOKUP($D51,'Master Sheet'!$B:$AA,8,FALSE),"")</f>
        <v/>
      </c>
      <c r="M51" s="9"/>
    </row>
    <row r="52" spans="1:13" ht="13.5" thickBot="1" x14ac:dyDescent="0.3">
      <c r="A52" s="10"/>
      <c r="B52" s="31"/>
      <c r="C52" s="46" t="s">
        <v>26</v>
      </c>
      <c r="D52" s="76"/>
      <c r="E52" s="48"/>
      <c r="F52" s="47"/>
      <c r="G52" s="49"/>
      <c r="H52" s="47"/>
      <c r="I52" s="47"/>
      <c r="J52" s="61"/>
      <c r="K52" s="62"/>
      <c r="M52" s="9"/>
    </row>
    <row r="53" spans="1:13" x14ac:dyDescent="0.25">
      <c r="A53" s="10"/>
      <c r="B53" s="31"/>
      <c r="C53" s="31"/>
      <c r="D53" s="53" t="s">
        <v>27</v>
      </c>
      <c r="E53" s="33"/>
      <c r="F53" s="2"/>
      <c r="G53" s="17" t="str">
        <f>IFERROR(VLOOKUP($D53,'Master Sheet'!$B:$AA,3,FALSE),"")</f>
        <v>ME-1 STEREO MICROPHONE</v>
      </c>
      <c r="H53" s="2"/>
      <c r="I53" s="2" t="str">
        <f>IFERROR(VLOOKUP($D53,'Master Sheet'!$B:$AA,2,FALSE),"")</f>
        <v>VBW30001</v>
      </c>
      <c r="J53" s="34" t="str">
        <f>IFERROR(VLOOKUP($D53,'Master Sheet'!$B:$AA,5,FALSE),"")</f>
        <v>018208270453</v>
      </c>
      <c r="K53" s="35">
        <f>IFERROR(VLOOKUP($D53,'Master Sheet'!$B:$AA,8,FALSE),"")</f>
        <v>3464.9549999999999</v>
      </c>
      <c r="M53" s="9"/>
    </row>
    <row r="54" spans="1:13" ht="13.5" thickBot="1" x14ac:dyDescent="0.3">
      <c r="A54" s="10"/>
      <c r="B54" s="31"/>
      <c r="C54" s="31"/>
      <c r="D54" s="53"/>
      <c r="E54" s="33"/>
      <c r="F54" s="2"/>
      <c r="G54" s="17" t="str">
        <f>IFERROR(VLOOKUP($D54,'Master Sheet'!$B:$AA,3,FALSE),"")</f>
        <v/>
      </c>
      <c r="H54" s="2"/>
      <c r="I54" s="2" t="str">
        <f>IFERROR(VLOOKUP($D54,'Master Sheet'!$B:$AA,2,FALSE),"")</f>
        <v/>
      </c>
      <c r="J54" s="34" t="str">
        <f>IFERROR(VLOOKUP($D54,'Master Sheet'!$B:$AA,5,FALSE),"")</f>
        <v/>
      </c>
      <c r="K54" s="35" t="str">
        <f>IFERROR(VLOOKUP($D54,'Master Sheet'!$B:$AA,8,FALSE),"")</f>
        <v/>
      </c>
      <c r="M54" s="9"/>
    </row>
    <row r="55" spans="1:13" ht="13.5" thickBot="1" x14ac:dyDescent="0.3">
      <c r="A55" s="10"/>
      <c r="B55" s="31"/>
      <c r="C55" s="46" t="s">
        <v>640</v>
      </c>
      <c r="D55" s="76"/>
      <c r="E55" s="48"/>
      <c r="F55" s="47"/>
      <c r="G55" s="49"/>
      <c r="H55" s="47"/>
      <c r="I55" s="47"/>
      <c r="J55" s="61"/>
      <c r="K55" s="62"/>
      <c r="M55" s="9"/>
    </row>
    <row r="56" spans="1:13" x14ac:dyDescent="0.25">
      <c r="A56" s="10"/>
      <c r="B56" s="31"/>
      <c r="C56" s="31"/>
      <c r="D56" s="32" t="s">
        <v>581</v>
      </c>
      <c r="E56" s="33"/>
      <c r="F56" s="2"/>
      <c r="G56" s="17" t="str">
        <f>IFERROR(VLOOKUP($D56,'Master Sheet'!$B:$AA,3,FALSE),"")</f>
        <v>DK-29  RUBBER EYECUP (Z6 &amp; Z7)</v>
      </c>
      <c r="H56" s="2"/>
      <c r="I56" s="2" t="str">
        <f>IFERROR(VLOOKUP($D56,'Master Sheet'!$B:$AA,2,FALSE),"")</f>
        <v>VOW00201</v>
      </c>
      <c r="J56" s="34" t="str">
        <f>IFERROR(VLOOKUP($D56,'Master Sheet'!$B:$AA,5,FALSE),"")</f>
        <v>018208042210</v>
      </c>
      <c r="K56" s="35">
        <f>IFERROR(VLOOKUP($D56,'Master Sheet'!$B:$AA,8,FALSE),"")</f>
        <v>134.95499999999998</v>
      </c>
      <c r="M56" s="9"/>
    </row>
    <row r="57" spans="1:13" ht="13.5" thickBot="1" x14ac:dyDescent="0.3">
      <c r="A57" s="10"/>
      <c r="B57" s="31"/>
      <c r="C57" s="31"/>
      <c r="D57" s="53"/>
      <c r="E57" s="33"/>
      <c r="F57" s="2"/>
      <c r="G57" s="17" t="str">
        <f>IFERROR(VLOOKUP($D57,'Master Sheet'!$B:$AA,3,FALSE),"")</f>
        <v/>
      </c>
      <c r="H57" s="2"/>
      <c r="I57" s="2" t="str">
        <f>IFERROR(VLOOKUP($D57,'Master Sheet'!$B:$AA,2,FALSE),"")</f>
        <v/>
      </c>
      <c r="J57" s="34" t="str">
        <f>IFERROR(VLOOKUP($D57,'Master Sheet'!$B:$AA,5,FALSE),"")</f>
        <v/>
      </c>
      <c r="K57" s="35" t="str">
        <f>IFERROR(VLOOKUP($D57,'Master Sheet'!$B:$AA,8,FALSE),"")</f>
        <v/>
      </c>
      <c r="M57" s="9"/>
    </row>
    <row r="58" spans="1:13" ht="13.5" thickBot="1" x14ac:dyDescent="0.3">
      <c r="A58" s="10"/>
      <c r="B58" s="31"/>
      <c r="C58" s="46" t="s">
        <v>30</v>
      </c>
      <c r="D58" s="76"/>
      <c r="E58" s="48"/>
      <c r="F58" s="47"/>
      <c r="G58" s="49"/>
      <c r="H58" s="47"/>
      <c r="I58" s="47"/>
      <c r="J58" s="61"/>
      <c r="K58" s="62"/>
      <c r="M58" s="9"/>
    </row>
    <row r="59" spans="1:13" x14ac:dyDescent="0.25">
      <c r="A59" s="10"/>
      <c r="B59" s="31"/>
      <c r="C59" s="31"/>
      <c r="D59" s="32" t="s">
        <v>269</v>
      </c>
      <c r="E59" s="33"/>
      <c r="F59" s="2"/>
      <c r="G59" s="17" t="str">
        <f>IFERROR(VLOOKUP($D59,'Master Sheet'!$B:$AA,3,FALSE),"")</f>
        <v>USB Cable UC-E24</v>
      </c>
      <c r="H59" s="2"/>
      <c r="I59" s="2" t="str">
        <f>IFERROR(VLOOKUP($D59,'Master Sheet'!$B:$AA,2,FALSE),"")</f>
        <v>VDU10701</v>
      </c>
      <c r="J59" s="34" t="str">
        <f>IFERROR(VLOOKUP($D59,'Master Sheet'!$B:$AA,5,FALSE),"")</f>
        <v>018208042166</v>
      </c>
      <c r="K59" s="35">
        <f>IFERROR(VLOOKUP($D59,'Master Sheet'!$B:$AA,8,FALSE),"")</f>
        <v>512.95500000000004</v>
      </c>
      <c r="M59" s="9"/>
    </row>
    <row r="60" spans="1:13" x14ac:dyDescent="0.25">
      <c r="A60" s="10"/>
      <c r="B60" s="31"/>
      <c r="C60" s="31"/>
      <c r="D60" s="32" t="s">
        <v>270</v>
      </c>
      <c r="E60" s="33"/>
      <c r="F60" s="2"/>
      <c r="G60" s="17" t="str">
        <f>IFERROR(VLOOKUP($D60,'Master Sheet'!$B:$AA,3,FALSE),"")</f>
        <v>USB Cable UC-E25</v>
      </c>
      <c r="H60" s="2"/>
      <c r="I60" s="2" t="str">
        <f>IFERROR(VLOOKUP($D60,'Master Sheet'!$B:$AA,2,FALSE),"")</f>
        <v>VDU10801</v>
      </c>
      <c r="J60" s="34" t="str">
        <f>IFERROR(VLOOKUP($D60,'Master Sheet'!$B:$AA,5,FALSE),"")</f>
        <v>018208042234</v>
      </c>
      <c r="K60" s="35">
        <f>IFERROR(VLOOKUP($D60,'Master Sheet'!$B:$AA,8,FALSE),"")</f>
        <v>575.95500000000004</v>
      </c>
      <c r="M60" s="9"/>
    </row>
    <row r="61" spans="1:13" x14ac:dyDescent="0.25">
      <c r="A61" s="10"/>
      <c r="B61" s="31"/>
      <c r="C61" s="31"/>
      <c r="D61" s="53"/>
      <c r="E61" s="33"/>
      <c r="F61" s="2"/>
      <c r="G61" s="17" t="str">
        <f>IFERROR(VLOOKUP($D61,'Master Sheet'!$B:$AA,3,FALSE),"")</f>
        <v/>
      </c>
      <c r="H61" s="2"/>
      <c r="I61" s="2" t="str">
        <f>IFERROR(VLOOKUP($D61,'Master Sheet'!$B:$AA,2,FALSE),"")</f>
        <v/>
      </c>
      <c r="J61" s="34" t="str">
        <f>IFERROR(VLOOKUP($D61,'Master Sheet'!$B:$AA,5,FALSE),"")</f>
        <v/>
      </c>
      <c r="K61" s="35" t="str">
        <f>IFERROR(VLOOKUP($D61,'Master Sheet'!$B:$AA,8,FALSE),"")</f>
        <v/>
      </c>
      <c r="M61" s="9"/>
    </row>
    <row r="62" spans="1:13" x14ac:dyDescent="0.25">
      <c r="A62" s="10"/>
      <c r="B62" s="33"/>
      <c r="C62" s="31"/>
      <c r="D62" s="53"/>
      <c r="E62" s="33"/>
      <c r="F62" s="2"/>
      <c r="G62" s="17" t="str">
        <f>IFERROR(VLOOKUP($D62,'Master Sheet'!$B:$AA,3,FALSE),"")</f>
        <v/>
      </c>
      <c r="H62" s="2"/>
      <c r="I62" s="2" t="str">
        <f>IFERROR(VLOOKUP($D62,'Master Sheet'!$B:$AA,2,FALSE),"")</f>
        <v/>
      </c>
      <c r="J62" s="34" t="str">
        <f>IFERROR(VLOOKUP($D62,'Master Sheet'!$B:$AA,5,FALSE),"")</f>
        <v/>
      </c>
      <c r="K62" s="35" t="str">
        <f>IFERROR(VLOOKUP($D62,'Master Sheet'!$B:$AA,8,FALSE),"")</f>
        <v/>
      </c>
      <c r="M62" s="9"/>
    </row>
    <row r="63" spans="1:13" x14ac:dyDescent="0.25">
      <c r="A63" s="10"/>
      <c r="B63" s="10"/>
      <c r="C63" s="10"/>
      <c r="D63" s="16"/>
      <c r="E63" s="10"/>
      <c r="F63" s="10"/>
      <c r="G63" s="50"/>
      <c r="H63" s="6"/>
      <c r="I63" s="6"/>
      <c r="J63" s="51"/>
      <c r="K63" s="52"/>
      <c r="L63" s="9"/>
      <c r="M63" s="9"/>
    </row>
  </sheetData>
  <mergeCells count="5">
    <mergeCell ref="D11:D12"/>
    <mergeCell ref="D14:D15"/>
    <mergeCell ref="D17:D18"/>
    <mergeCell ref="D20:D21"/>
    <mergeCell ref="G20:K20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8025-2B6E-4C8D-A90E-68D803DBD87B}">
  <sheetPr>
    <pageSetUpPr fitToPage="1"/>
  </sheetPr>
  <dimension ref="A1:M64"/>
  <sheetViews>
    <sheetView showGridLines="0" showRowColHeaders="0" zoomScale="85" zoomScaleNormal="85" workbookViewId="0">
      <selection activeCell="K22" sqref="K22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53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18" t="s">
        <v>0</v>
      </c>
      <c r="D3" s="70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58" t="s">
        <v>1</v>
      </c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18" t="s">
        <v>2</v>
      </c>
      <c r="D5" s="14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58" t="s">
        <v>654</v>
      </c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18" t="s">
        <v>3</v>
      </c>
      <c r="D7" s="14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1"/>
      <c r="D8" s="58" t="s">
        <v>49</v>
      </c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58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18" t="s">
        <v>4</v>
      </c>
      <c r="D10" s="14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37"/>
      <c r="D11" s="93" t="s">
        <v>653</v>
      </c>
      <c r="E11" s="36"/>
      <c r="F11" s="8"/>
      <c r="G11" s="22"/>
      <c r="H11" s="8"/>
      <c r="J11" s="34"/>
      <c r="K11" s="35"/>
      <c r="M11" s="9"/>
    </row>
    <row r="12" spans="1:13" ht="27.6" customHeight="1" x14ac:dyDescent="0.25">
      <c r="A12" s="10"/>
      <c r="B12" s="31"/>
      <c r="C12" s="37"/>
      <c r="D12" s="93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18" t="s">
        <v>5</v>
      </c>
      <c r="D13" s="14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93" t="s">
        <v>794</v>
      </c>
      <c r="E14" s="36"/>
      <c r="F14" s="8"/>
      <c r="G14" s="22"/>
      <c r="H14" s="8"/>
      <c r="J14" s="34"/>
      <c r="K14" s="35"/>
      <c r="M14" s="9"/>
    </row>
    <row r="15" spans="1:13" x14ac:dyDescent="0.25">
      <c r="A15" s="10"/>
      <c r="B15" s="31"/>
      <c r="C15" s="31"/>
      <c r="D15" s="93"/>
      <c r="E15" s="36"/>
      <c r="F15" s="8"/>
      <c r="G15" s="22"/>
      <c r="H15" s="8"/>
      <c r="J15" s="34"/>
      <c r="K15" s="35"/>
      <c r="M15" s="9"/>
    </row>
    <row r="16" spans="1:13" x14ac:dyDescent="0.25">
      <c r="A16" s="10"/>
      <c r="B16" s="31"/>
      <c r="C16" s="18" t="s">
        <v>6</v>
      </c>
      <c r="D16" s="14"/>
      <c r="E16" s="36"/>
      <c r="F16" s="8"/>
      <c r="G16" s="22"/>
      <c r="H16" s="8"/>
      <c r="J16" s="34"/>
      <c r="K16" s="35"/>
      <c r="M16" s="9"/>
    </row>
    <row r="17" spans="1:13" x14ac:dyDescent="0.25">
      <c r="A17" s="10"/>
      <c r="B17" s="31"/>
      <c r="C17" s="31"/>
      <c r="D17" s="93" t="s">
        <v>645</v>
      </c>
      <c r="E17" s="36"/>
      <c r="F17" s="8"/>
      <c r="G17" s="22"/>
      <c r="H17" s="8"/>
      <c r="J17" s="34"/>
      <c r="K17" s="35"/>
      <c r="M17" s="9"/>
    </row>
    <row r="18" spans="1:13" x14ac:dyDescent="0.25">
      <c r="A18" s="10"/>
      <c r="B18" s="31"/>
      <c r="C18" s="31"/>
      <c r="D18" s="93"/>
      <c r="E18" s="36"/>
      <c r="F18" s="8"/>
      <c r="G18" s="22"/>
      <c r="H18" s="8"/>
      <c r="J18" s="34"/>
      <c r="K18" s="35"/>
      <c r="M18" s="9"/>
    </row>
    <row r="19" spans="1:13" ht="13.5" thickBot="1" x14ac:dyDescent="0.3">
      <c r="A19" s="10"/>
      <c r="B19" s="31"/>
      <c r="C19" s="18" t="s">
        <v>7</v>
      </c>
      <c r="D19" s="14"/>
      <c r="E19" s="36"/>
      <c r="F19" s="8"/>
      <c r="G19" s="22"/>
      <c r="H19" s="8"/>
      <c r="J19" s="34"/>
      <c r="K19" s="35"/>
      <c r="M19" s="9"/>
    </row>
    <row r="20" spans="1:13" ht="13.5" thickBot="1" x14ac:dyDescent="0.3">
      <c r="A20" s="10"/>
      <c r="B20" s="31"/>
      <c r="C20" s="31"/>
      <c r="D20" s="94" t="s">
        <v>793</v>
      </c>
      <c r="E20" s="36"/>
      <c r="F20" s="8"/>
      <c r="G20" s="90" t="s">
        <v>670</v>
      </c>
      <c r="H20" s="91"/>
      <c r="I20" s="91"/>
      <c r="J20" s="91"/>
      <c r="K20" s="92"/>
      <c r="M20" s="9"/>
    </row>
    <row r="21" spans="1:13" ht="13.5" thickBot="1" x14ac:dyDescent="0.3">
      <c r="A21" s="10"/>
      <c r="B21" s="31"/>
      <c r="C21" s="31"/>
      <c r="D21" s="95"/>
      <c r="E21" s="36"/>
      <c r="F21" s="8"/>
      <c r="G21" s="22"/>
      <c r="H21" s="8"/>
      <c r="J21" s="34"/>
      <c r="K21" s="35"/>
      <c r="M21" s="9"/>
    </row>
    <row r="22" spans="1:13" ht="13.5" thickBot="1" x14ac:dyDescent="0.3">
      <c r="A22" s="10"/>
      <c r="B22" s="31"/>
      <c r="C22" s="39" t="s">
        <v>48</v>
      </c>
      <c r="D22" s="60"/>
      <c r="E22" s="40"/>
      <c r="F22" s="55"/>
      <c r="G22" s="41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3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3" x14ac:dyDescent="0.25">
      <c r="A24" s="10"/>
      <c r="B24" s="31"/>
      <c r="C24" s="31"/>
      <c r="D24" s="53" t="s">
        <v>413</v>
      </c>
      <c r="E24" s="33"/>
      <c r="F24" s="2"/>
      <c r="G24" s="17" t="str">
        <f>IFERROR(VLOOKUP($D24,'Master Sheet'!$B:$AA,3,FALSE),"")</f>
        <v>Nikon Z6 II Mirrorless Digital Camera Body</v>
      </c>
      <c r="H24" s="2"/>
      <c r="I24" s="2" t="str">
        <f>IFERROR(VLOOKUP($D24,'Master Sheet'!$B:$AA,2,FALSE),"")</f>
        <v>VOA060AM</v>
      </c>
      <c r="J24" s="34" t="str">
        <f>IFERROR(VLOOKUP($D24,'Master Sheet'!$B:$AA,5,FALSE),"")</f>
        <v>4960759905949</v>
      </c>
      <c r="K24" s="35">
        <f>IFERROR(VLOOKUP($D24,'Master Sheet'!$B:$AA,8,FALSE),"")</f>
        <v>39131.955000000002</v>
      </c>
      <c r="M24" s="9"/>
    </row>
    <row r="25" spans="1:13" ht="25.5" x14ac:dyDescent="0.25">
      <c r="A25" s="10"/>
      <c r="B25" s="31"/>
      <c r="C25" s="31"/>
      <c r="D25" s="53" t="s">
        <v>803</v>
      </c>
      <c r="E25" s="33"/>
      <c r="F25" s="2"/>
      <c r="G25" s="17" t="str">
        <f>IFERROR(VLOOKUP($D25,'Master Sheet'!$B:$AA,3,FALSE),"")</f>
        <v xml:space="preserve">Nikon Z6 II Mirrorless Digital Camera+NIKKOR Z 24-70mm f/4 S Lens </v>
      </c>
      <c r="H25" s="2"/>
      <c r="I25" s="2">
        <f>IFERROR(VLOOKUP($D25,'Master Sheet'!$B:$AA,2,FALSE),"")</f>
        <v>0</v>
      </c>
      <c r="J25" s="34">
        <f>IFERROR(VLOOKUP($D25,'Master Sheet'!$B:$AA,5,FALSE),"")</f>
        <v>6009658262215</v>
      </c>
      <c r="K25" s="35">
        <f>IFERROR(VLOOKUP($D25,'Master Sheet'!$B:$AA,8,FALSE),"")</f>
        <v>50084.955000000002</v>
      </c>
      <c r="M25" s="9"/>
    </row>
    <row r="26" spans="1:13" ht="13.5" thickBot="1" x14ac:dyDescent="0.3">
      <c r="A26" s="10"/>
      <c r="B26" s="31"/>
      <c r="C26" s="31"/>
      <c r="D26" s="53"/>
      <c r="E26" s="33"/>
      <c r="F26" s="2"/>
      <c r="G26" s="17" t="str">
        <f>IFERROR(VLOOKUP($D26,'Master Sheet'!$B:$AA,3,FALSE),"")</f>
        <v/>
      </c>
      <c r="H26" s="2"/>
      <c r="I26" s="2" t="str">
        <f>IFERROR(VLOOKUP($D26,'Master Sheet'!$B:$AA,2,FALSE),"")</f>
        <v/>
      </c>
      <c r="J26" s="34" t="str">
        <f>IFERROR(VLOOKUP($D26,'Master Sheet'!$B:$AA,5,FALSE),"")</f>
        <v/>
      </c>
      <c r="K26" s="35" t="str">
        <f>IFERROR(VLOOKUP($D26,'Master Sheet'!$B:$AA,8,FALSE),"")</f>
        <v/>
      </c>
      <c r="M26" s="9"/>
    </row>
    <row r="27" spans="1:13" ht="13.5" thickBot="1" x14ac:dyDescent="0.3">
      <c r="A27" s="10"/>
      <c r="B27" s="31"/>
      <c r="C27" s="46" t="s">
        <v>31</v>
      </c>
      <c r="D27" s="49"/>
      <c r="E27" s="48"/>
      <c r="F27" s="47"/>
      <c r="G27" s="49"/>
      <c r="H27" s="47"/>
      <c r="I27" s="47"/>
      <c r="J27" s="61"/>
      <c r="K27" s="62"/>
      <c r="M27" s="9"/>
    </row>
    <row r="28" spans="1:13" x14ac:dyDescent="0.25">
      <c r="A28" s="10"/>
      <c r="B28" s="31"/>
      <c r="C28" s="31"/>
      <c r="D28" s="53" t="s">
        <v>435</v>
      </c>
      <c r="E28" s="33"/>
      <c r="F28" s="2"/>
      <c r="G28" s="17" t="str">
        <f>IFERROR(VLOOKUP($D28,'Master Sheet'!$B:$AA,3,FALSE),"")</f>
        <v>BF-N1 Body Cap (Z-Series)</v>
      </c>
      <c r="H28" s="2"/>
      <c r="I28" s="2" t="str">
        <f>IFERROR(VLOOKUP($D28,'Master Sheet'!$B:$AA,2,FALSE),"")</f>
        <v>VOD00101</v>
      </c>
      <c r="J28" s="34" t="str">
        <f>IFERROR(VLOOKUP($D28,'Master Sheet'!$B:$AA,5,FALSE),"")</f>
        <v>4960759901002</v>
      </c>
      <c r="K28" s="35">
        <f>IFERROR(VLOOKUP($D28,'Master Sheet'!$B:$AA,8,FALSE),"")</f>
        <v>116.955</v>
      </c>
      <c r="M28" s="9"/>
    </row>
    <row r="29" spans="1:13" ht="13.5" thickBot="1" x14ac:dyDescent="0.3">
      <c r="A29" s="10"/>
      <c r="B29" s="31"/>
      <c r="C29" s="31"/>
      <c r="D29" s="53"/>
      <c r="E29" s="33"/>
      <c r="F29" s="2"/>
      <c r="H29" s="2"/>
      <c r="J29" s="34"/>
      <c r="K29" s="35"/>
      <c r="M29" s="9"/>
    </row>
    <row r="30" spans="1:13" ht="13.5" thickBot="1" x14ac:dyDescent="0.3">
      <c r="A30" s="10"/>
      <c r="B30" s="31"/>
      <c r="C30" s="46" t="s">
        <v>641</v>
      </c>
      <c r="D30" s="49"/>
      <c r="E30" s="48"/>
      <c r="F30" s="47"/>
      <c r="G30" s="49"/>
      <c r="H30" s="47"/>
      <c r="I30" s="47"/>
      <c r="J30" s="61"/>
      <c r="K30" s="62"/>
      <c r="M30" s="9"/>
    </row>
    <row r="31" spans="1:13" x14ac:dyDescent="0.25">
      <c r="A31" s="10"/>
      <c r="B31" s="31"/>
      <c r="C31" s="31"/>
      <c r="D31" s="53" t="s">
        <v>481</v>
      </c>
      <c r="E31" s="33"/>
      <c r="F31" s="2"/>
      <c r="G31" s="17" t="str">
        <f>IFERROR(VLOOKUP($D31,'Master Sheet'!$B:$AA,3,FALSE),"")</f>
        <v>FTZ II Mount Adapter</v>
      </c>
      <c r="H31" s="2"/>
      <c r="I31" s="2" t="str">
        <f>IFERROR(VLOOKUP($D31,'Master Sheet'!$B:$AA,2,FALSE),"")</f>
        <v>JMA905DA</v>
      </c>
      <c r="J31" s="34" t="str">
        <f>IFERROR(VLOOKUP($D31,'Master Sheet'!$B:$AA,5,FALSE),"")</f>
        <v>018208042647</v>
      </c>
      <c r="K31" s="35">
        <f>IFERROR(VLOOKUP($D31,'Master Sheet'!$B:$AA,8,FALSE),"")</f>
        <v>4049.9549999999999</v>
      </c>
      <c r="M31" s="9"/>
    </row>
    <row r="32" spans="1:13" ht="13.5" thickBot="1" x14ac:dyDescent="0.3">
      <c r="A32" s="10"/>
      <c r="B32" s="31"/>
      <c r="C32" s="31"/>
      <c r="D32" s="53"/>
      <c r="E32" s="33"/>
      <c r="F32" s="2"/>
      <c r="G32" s="17" t="str">
        <f>IFERROR(VLOOKUP($D32,'Master Sheet'!$B:$AA,3,FALSE),"")</f>
        <v/>
      </c>
      <c r="H32" s="2"/>
      <c r="I32" s="2" t="str">
        <f>IFERROR(VLOOKUP($D32,'Master Sheet'!$B:$AA,2,FALSE),"")</f>
        <v/>
      </c>
      <c r="J32" s="34" t="str">
        <f>IFERROR(VLOOKUP($D32,'Master Sheet'!$B:$AA,5,FALSE),"")</f>
        <v/>
      </c>
      <c r="K32" s="35" t="str">
        <f>IFERROR(VLOOKUP($D32,'Master Sheet'!$B:$AA,8,FALSE),"")</f>
        <v/>
      </c>
      <c r="M32" s="9"/>
    </row>
    <row r="33" spans="1:13" ht="13.5" thickBot="1" x14ac:dyDescent="0.3">
      <c r="A33" s="10"/>
      <c r="B33" s="31"/>
      <c r="C33" s="46" t="s">
        <v>8</v>
      </c>
      <c r="D33" s="49"/>
      <c r="E33" s="48"/>
      <c r="F33" s="47"/>
      <c r="G33" s="49"/>
      <c r="H33" s="47"/>
      <c r="I33" s="47"/>
      <c r="J33" s="61"/>
      <c r="K33" s="62"/>
      <c r="M33" s="9"/>
    </row>
    <row r="34" spans="1:13" x14ac:dyDescent="0.25">
      <c r="A34" s="10"/>
      <c r="B34" s="31"/>
      <c r="C34" s="31"/>
      <c r="D34" s="53"/>
      <c r="E34" s="33"/>
      <c r="F34" s="2"/>
      <c r="G34" s="17" t="s">
        <v>649</v>
      </c>
      <c r="H34" s="2"/>
      <c r="I34" s="2" t="str">
        <f>IFERROR(VLOOKUP($D34,'Master Sheet'!$B:$AA,2,FALSE),"")</f>
        <v/>
      </c>
      <c r="J34" s="34" t="str">
        <f>IFERROR(VLOOKUP($D34,'Master Sheet'!$B:$AA,5,FALSE),"")</f>
        <v/>
      </c>
      <c r="K34" s="35" t="str">
        <f>IFERROR(VLOOKUP($D34,'Master Sheet'!$B:$AA,8,FALSE),"")</f>
        <v/>
      </c>
      <c r="M34" s="9"/>
    </row>
    <row r="35" spans="1:13" ht="13.5" thickBot="1" x14ac:dyDescent="0.3">
      <c r="A35" s="10"/>
      <c r="B35" s="31"/>
      <c r="C35" s="31"/>
      <c r="D35" s="53"/>
      <c r="E35" s="33"/>
      <c r="F35" s="2"/>
      <c r="G35" s="17" t="str">
        <f>IFERROR(VLOOKUP($D35,'Master Sheet'!$B:$AA,3,FALSE),"")</f>
        <v/>
      </c>
      <c r="H35" s="2"/>
      <c r="I35" s="2" t="str">
        <f>IFERROR(VLOOKUP($D35,'Master Sheet'!$B:$AA,2,FALSE),"")</f>
        <v/>
      </c>
      <c r="J35" s="34" t="str">
        <f>IFERROR(VLOOKUP($D35,'Master Sheet'!$B:$AA,5,FALSE),"")</f>
        <v/>
      </c>
      <c r="K35" s="35" t="str">
        <f>IFERROR(VLOOKUP($D35,'Master Sheet'!$B:$AA,8,FALSE),"")</f>
        <v/>
      </c>
      <c r="M35" s="9"/>
    </row>
    <row r="36" spans="1:13" ht="13.5" thickBot="1" x14ac:dyDescent="0.3">
      <c r="A36" s="10"/>
      <c r="B36" s="31"/>
      <c r="C36" s="46" t="s">
        <v>9</v>
      </c>
      <c r="D36" s="49"/>
      <c r="E36" s="48"/>
      <c r="F36" s="47"/>
      <c r="G36" s="49"/>
      <c r="H36" s="47"/>
      <c r="I36" s="47"/>
      <c r="J36" s="61"/>
      <c r="K36" s="62"/>
      <c r="M36" s="9"/>
    </row>
    <row r="37" spans="1:13" x14ac:dyDescent="0.25">
      <c r="A37" s="10"/>
      <c r="B37" s="31"/>
      <c r="C37" s="31"/>
      <c r="D37" s="53"/>
      <c r="E37" s="33"/>
      <c r="F37" s="2"/>
      <c r="G37" s="17" t="s">
        <v>650</v>
      </c>
      <c r="H37" s="2"/>
      <c r="I37" s="2" t="str">
        <f>IFERROR(VLOOKUP($D37,'Master Sheet'!$B:$AA,2,FALSE),"")</f>
        <v/>
      </c>
      <c r="J37" s="34" t="str">
        <f>IFERROR(VLOOKUP($D37,'Master Sheet'!$B:$AA,5,FALSE),"")</f>
        <v/>
      </c>
      <c r="K37" s="35" t="str">
        <f>IFERROR(VLOOKUP($D37,'Master Sheet'!$B:$AA,8,FALSE),"")</f>
        <v/>
      </c>
      <c r="M37" s="9"/>
    </row>
    <row r="38" spans="1:13" ht="13.5" thickBot="1" x14ac:dyDescent="0.3">
      <c r="A38" s="10"/>
      <c r="B38" s="31"/>
      <c r="C38" s="31"/>
      <c r="D38" s="53"/>
      <c r="E38" s="33"/>
      <c r="F38" s="2"/>
      <c r="G38" s="17" t="str">
        <f>IFERROR(VLOOKUP($D38,'Master Sheet'!$B:$AA,3,FALSE),"")</f>
        <v/>
      </c>
      <c r="H38" s="2"/>
      <c r="I38" s="2" t="str">
        <f>IFERROR(VLOOKUP($D38,'Master Sheet'!$B:$AA,2,FALSE),"")</f>
        <v/>
      </c>
      <c r="J38" s="34" t="str">
        <f>IFERROR(VLOOKUP($D38,'Master Sheet'!$B:$AA,5,FALSE),"")</f>
        <v/>
      </c>
      <c r="K38" s="35" t="str">
        <f>IFERROR(VLOOKUP($D38,'Master Sheet'!$B:$AA,8,FALSE),"")</f>
        <v/>
      </c>
      <c r="M38" s="9"/>
    </row>
    <row r="39" spans="1:13" ht="13.5" thickBot="1" x14ac:dyDescent="0.3">
      <c r="A39" s="10"/>
      <c r="B39" s="31"/>
      <c r="C39" s="46" t="s">
        <v>23</v>
      </c>
      <c r="D39" s="49"/>
      <c r="E39" s="48"/>
      <c r="F39" s="47"/>
      <c r="G39" s="49"/>
      <c r="H39" s="47"/>
      <c r="I39" s="47"/>
      <c r="J39" s="61"/>
      <c r="K39" s="62"/>
      <c r="M39" s="9"/>
    </row>
    <row r="40" spans="1:13" x14ac:dyDescent="0.25">
      <c r="A40" s="10"/>
      <c r="B40" s="31"/>
      <c r="C40" s="31"/>
      <c r="D40" s="53" t="s">
        <v>272</v>
      </c>
      <c r="E40" s="33"/>
      <c r="F40" s="2"/>
      <c r="G40" s="17" t="str">
        <f>IFERROR(VLOOKUP($D40,'Master Sheet'!$B:$AA,3,FALSE),"")</f>
        <v>AC Adapter EH-5d</v>
      </c>
      <c r="H40" s="2"/>
      <c r="I40" s="2" t="str">
        <f>IFERROR(VLOOKUP($D40,'Master Sheet'!$B:$AA,2,FALSE),"")</f>
        <v>VEB033EA</v>
      </c>
      <c r="J40" s="34" t="str">
        <f>IFERROR(VLOOKUP($D40,'Master Sheet'!$B:$AA,5,FALSE),"")</f>
        <v>4960759903143</v>
      </c>
      <c r="K40" s="35">
        <f>IFERROR(VLOOKUP($D40,'Master Sheet'!$B:$AA,8,FALSE),"")</f>
        <v>1736.9550000000002</v>
      </c>
      <c r="M40" s="9"/>
    </row>
    <row r="41" spans="1:13" x14ac:dyDescent="0.25">
      <c r="A41" s="10"/>
      <c r="B41" s="31"/>
      <c r="C41" s="31"/>
      <c r="D41" s="53" t="s">
        <v>690</v>
      </c>
      <c r="E41" s="33"/>
      <c r="F41" s="2"/>
      <c r="G41" s="17" t="str">
        <f>IFERROR(VLOOKUP($D41,'Master Sheet'!$B:$AA,3,FALSE),"")</f>
        <v>Charging AC Adapter EH-7P</v>
      </c>
      <c r="H41" s="2"/>
      <c r="I41" s="2" t="str">
        <f>IFERROR(VLOOKUP($D41,'Master Sheet'!$B:$AA,2,FALSE),"")</f>
        <v>VEB029BA</v>
      </c>
      <c r="J41" s="34" t="str">
        <f>IFERROR(VLOOKUP($D41,'Master Sheet'!$B:$AA,5,FALSE),"")</f>
        <v>4960759901958</v>
      </c>
      <c r="K41" s="35">
        <f>IFERROR(VLOOKUP($D41,'Master Sheet'!$B:$AA,8,FALSE),"")</f>
        <v>917.95500000000004</v>
      </c>
      <c r="M41" s="9"/>
    </row>
    <row r="42" spans="1:13" x14ac:dyDescent="0.25">
      <c r="A42" s="10"/>
      <c r="B42" s="31"/>
      <c r="C42" s="31"/>
      <c r="D42" s="53" t="s">
        <v>367</v>
      </c>
      <c r="E42" s="33"/>
      <c r="F42" s="2"/>
      <c r="G42" s="17" t="str">
        <f>IFERROR(VLOOKUP($D42,'Master Sheet'!$B:$AA,3,FALSE),"")</f>
        <v>EN-EL15C RECHARGEABLE LI-ION BATTERY</v>
      </c>
      <c r="H42" s="2"/>
      <c r="I42" s="2" t="str">
        <f>IFERROR(VLOOKUP($D42,'Master Sheet'!$B:$AA,2,FALSE),"")</f>
        <v>VFB12802</v>
      </c>
      <c r="J42" s="34" t="str">
        <f>IFERROR(VLOOKUP($D42,'Master Sheet'!$B:$AA,5,FALSE),"")</f>
        <v>4960759904393</v>
      </c>
      <c r="K42" s="35">
        <f>IFERROR(VLOOKUP($D42,'Master Sheet'!$B:$AA,8,FALSE),"")</f>
        <v>1439.9550000000002</v>
      </c>
      <c r="M42" s="9"/>
    </row>
    <row r="43" spans="1:13" ht="25.5" x14ac:dyDescent="0.25">
      <c r="A43" s="10"/>
      <c r="B43" s="31"/>
      <c r="C43" s="31"/>
      <c r="D43" s="53" t="s">
        <v>83</v>
      </c>
      <c r="E43" s="33"/>
      <c r="F43" s="2"/>
      <c r="G43" s="17" t="str">
        <f>IFERROR(VLOOKUP($D43,'Master Sheet'!$B:$AA,3,FALSE),"")</f>
        <v>EP-5B POWER CONNECTOR - D7000/D7100/D600/D610/D800/E</v>
      </c>
      <c r="H43" s="2"/>
      <c r="I43" s="2" t="str">
        <f>IFERROR(VLOOKUP($D43,'Master Sheet'!$B:$AA,2,FALSE),"")</f>
        <v>VEB00901</v>
      </c>
      <c r="J43" s="34" t="str">
        <f>IFERROR(VLOOKUP($D43,'Master Sheet'!$B:$AA,5,FALSE),"")</f>
        <v>018208270149</v>
      </c>
      <c r="K43" s="35">
        <f>IFERROR(VLOOKUP($D43,'Master Sheet'!$B:$AA,8,FALSE),"")</f>
        <v>863.95500000000004</v>
      </c>
      <c r="M43" s="9"/>
    </row>
    <row r="44" spans="1:13" x14ac:dyDescent="0.25">
      <c r="A44" s="10"/>
      <c r="B44" s="31"/>
      <c r="C44" s="31"/>
      <c r="D44" s="53" t="s">
        <v>687</v>
      </c>
      <c r="E44" s="33"/>
      <c r="F44" s="2"/>
      <c r="G44" s="17" t="str">
        <f>IFERROR(VLOOKUP($D44,'Master Sheet'!$B:$AA,3,FALSE),"")</f>
        <v>Nikon MB-N10 battery pack for the Z6/Z7</v>
      </c>
      <c r="H44" s="2"/>
      <c r="I44" s="2" t="str">
        <f>IFERROR(VLOOKUP($D44,'Master Sheet'!$B:$AA,2,FALSE),"")</f>
        <v>VFC00801</v>
      </c>
      <c r="J44" s="34" t="str">
        <f>IFERROR(VLOOKUP($D44,'Master Sheet'!$B:$AA,5,FALSE),"")</f>
        <v>018208272044</v>
      </c>
      <c r="K44" s="35">
        <f>IFERROR(VLOOKUP($D44,'Master Sheet'!$B:$AA,8,FALSE),"")</f>
        <v>5039.9549999999999</v>
      </c>
      <c r="M44" s="9"/>
    </row>
    <row r="45" spans="1:13" x14ac:dyDescent="0.25">
      <c r="A45" s="10"/>
      <c r="B45" s="31"/>
      <c r="C45" s="31"/>
      <c r="D45" s="53" t="s">
        <v>688</v>
      </c>
      <c r="E45" s="33"/>
      <c r="F45" s="2"/>
      <c r="G45" s="17" t="str">
        <f>IFERROR(VLOOKUP($D45,'Master Sheet'!$B:$AA,3,FALSE),"")</f>
        <v>Nikon MB-N11 battery pack for the Z6 II/Z7 II</v>
      </c>
      <c r="H45" s="2"/>
      <c r="I45" s="2" t="str">
        <f>IFERROR(VLOOKUP($D45,'Master Sheet'!$B:$AA,2,FALSE),"")</f>
        <v>VFC00901</v>
      </c>
      <c r="J45" s="34" t="str">
        <f>IFERROR(VLOOKUP($D45,'Master Sheet'!$B:$AA,5,FALSE),"")</f>
        <v>018208272150</v>
      </c>
      <c r="K45" s="35">
        <f>IFERROR(VLOOKUP($D45,'Master Sheet'!$B:$AA,8,FALSE),"")</f>
        <v>7559.9550000000008</v>
      </c>
      <c r="M45" s="9"/>
    </row>
    <row r="46" spans="1:13" x14ac:dyDescent="0.25">
      <c r="A46" s="10"/>
      <c r="B46" s="31"/>
      <c r="C46" s="31"/>
      <c r="D46" s="53" t="s">
        <v>24</v>
      </c>
      <c r="E46" s="33"/>
      <c r="F46" s="2"/>
      <c r="G46" s="17" t="str">
        <f>IFERROR(VLOOKUP($D46,'Master Sheet'!$B:$AA,3,FALSE),"")</f>
        <v>MH-25A BATTERY CHARGER - EN-EL15 Battery</v>
      </c>
      <c r="H46" s="2"/>
      <c r="I46" s="2" t="str">
        <f>IFERROR(VLOOKUP($D46,'Master Sheet'!$B:$AA,2,FALSE),"")</f>
        <v>VEA016EA</v>
      </c>
      <c r="J46" s="34" t="str">
        <f>IFERROR(VLOOKUP($D46,'Master Sheet'!$B:$AA,5,FALSE),"")</f>
        <v>018208941704</v>
      </c>
      <c r="K46" s="35">
        <f>IFERROR(VLOOKUP($D46,'Master Sheet'!$B:$AA,8,FALSE),"")</f>
        <v>1106.9550000000002</v>
      </c>
      <c r="M46" s="9"/>
    </row>
    <row r="47" spans="1:13" ht="13.5" thickBot="1" x14ac:dyDescent="0.3">
      <c r="A47" s="10"/>
      <c r="B47" s="31"/>
      <c r="C47" s="31"/>
      <c r="D47" s="53"/>
      <c r="E47" s="33"/>
      <c r="F47" s="2"/>
      <c r="G47" s="17" t="str">
        <f>IFERROR(VLOOKUP($D47,'Master Sheet'!$B:$AA,3,FALSE),"")</f>
        <v/>
      </c>
      <c r="H47" s="2"/>
      <c r="I47" s="2" t="str">
        <f>IFERROR(VLOOKUP($D47,'Master Sheet'!$B:$AA,2,FALSE),"")</f>
        <v/>
      </c>
      <c r="J47" s="34" t="str">
        <f>IFERROR(VLOOKUP($D47,'Master Sheet'!$B:$AA,5,FALSE),"")</f>
        <v/>
      </c>
      <c r="K47" s="35" t="str">
        <f>IFERROR(VLOOKUP($D47,'Master Sheet'!$B:$AA,8,FALSE),"")</f>
        <v/>
      </c>
      <c r="M47" s="9"/>
    </row>
    <row r="48" spans="1:13" ht="13.5" thickBot="1" x14ac:dyDescent="0.3">
      <c r="A48" s="10"/>
      <c r="B48" s="31"/>
      <c r="C48" s="46" t="s">
        <v>29</v>
      </c>
      <c r="D48" s="49"/>
      <c r="E48" s="48"/>
      <c r="F48" s="47"/>
      <c r="G48" s="49"/>
      <c r="H48" s="47"/>
      <c r="I48" s="47"/>
      <c r="J48" s="61"/>
      <c r="K48" s="62"/>
      <c r="M48" s="9"/>
    </row>
    <row r="49" spans="1:13" x14ac:dyDescent="0.25">
      <c r="A49" s="10"/>
      <c r="B49" s="31"/>
      <c r="C49" s="31"/>
      <c r="D49" s="53" t="s">
        <v>898</v>
      </c>
      <c r="E49" s="33"/>
      <c r="F49" s="2"/>
      <c r="G49" s="17" t="str">
        <f>IFERROR(VLOOKUP($D49,'Master Sheet'!$B:$AA,3,FALSE),"")</f>
        <v>Nikon MC-DC3 Remote Release Cord</v>
      </c>
      <c r="H49" s="2"/>
      <c r="I49" s="2" t="str">
        <f>IFERROR(VLOOKUP($D49,'Master Sheet'!$B:$AA,2,FALSE),"")</f>
        <v>VDR01001</v>
      </c>
      <c r="J49" s="34" t="str">
        <f>IFERROR(VLOOKUP($D49,'Master Sheet'!$B:$AA,5,FALSE),"")</f>
        <v>No Barcode</v>
      </c>
      <c r="K49" s="35">
        <f>IFERROR(VLOOKUP($D49,'Master Sheet'!$B:$AA,8,FALSE),"")</f>
        <v>584.95500000000004</v>
      </c>
      <c r="M49" s="9"/>
    </row>
    <row r="50" spans="1:13" x14ac:dyDescent="0.25">
      <c r="A50" s="10"/>
      <c r="B50" s="31"/>
      <c r="C50" s="31"/>
      <c r="D50" s="53" t="s">
        <v>86</v>
      </c>
      <c r="E50" s="33"/>
      <c r="F50" s="2"/>
      <c r="G50" s="17" t="str">
        <f>IFERROR(VLOOKUP($D50,'Master Sheet'!$B:$AA,3,FALSE),"")</f>
        <v>ML-L7 REMOTE CONTROL</v>
      </c>
      <c r="H50" s="2"/>
      <c r="I50" s="2" t="str">
        <f>IFERROR(VLOOKUP($D50,'Master Sheet'!$B:$AA,2,FALSE),"")</f>
        <v>VAJ57201</v>
      </c>
      <c r="J50" s="34" t="str">
        <f>IFERROR(VLOOKUP($D50,'Master Sheet'!$B:$AA,5,FALSE),"")</f>
        <v>018208259526</v>
      </c>
      <c r="K50" s="35">
        <f>IFERROR(VLOOKUP($D50,'Master Sheet'!$B:$AA,8,FALSE),"")</f>
        <v>800.95500000000004</v>
      </c>
      <c r="M50" s="9"/>
    </row>
    <row r="51" spans="1:13" x14ac:dyDescent="0.25">
      <c r="A51" s="10"/>
      <c r="B51" s="31"/>
      <c r="C51" s="31"/>
      <c r="D51" s="53" t="s">
        <v>35</v>
      </c>
      <c r="E51" s="33"/>
      <c r="F51" s="2"/>
      <c r="G51" s="17" t="str">
        <f>IFERROR(VLOOKUP($D51,'Master Sheet'!$B:$AA,3,FALSE),"")</f>
        <v xml:space="preserve">WR-T10 WIRELESS REMOTE TRANSMITTER </v>
      </c>
      <c r="H51" s="2"/>
      <c r="I51" s="2" t="str">
        <f>IFERROR(VLOOKUP($D51,'Master Sheet'!$B:$AA,2,FALSE),"")</f>
        <v>VBJ003AE</v>
      </c>
      <c r="J51" s="34" t="str">
        <f>IFERROR(VLOOKUP($D51,'Master Sheet'!$B:$AA,5,FALSE),"")</f>
        <v>018208933525</v>
      </c>
      <c r="K51" s="35">
        <f>IFERROR(VLOOKUP($D51,'Master Sheet'!$B:$AA,8,FALSE),"")</f>
        <v>1475.9550000000002</v>
      </c>
      <c r="M51" s="9"/>
    </row>
    <row r="52" spans="1:13" ht="13.5" thickBot="1" x14ac:dyDescent="0.3">
      <c r="A52" s="10"/>
      <c r="B52" s="31"/>
      <c r="C52" s="31"/>
      <c r="D52" s="53"/>
      <c r="E52" s="33"/>
      <c r="F52" s="2"/>
      <c r="G52" s="17" t="str">
        <f>IFERROR(VLOOKUP($D52,'Master Sheet'!$B:$AA,3,FALSE),"")</f>
        <v/>
      </c>
      <c r="H52" s="2"/>
      <c r="I52" s="2" t="str">
        <f>IFERROR(VLOOKUP($D52,'Master Sheet'!$B:$AA,2,FALSE),"")</f>
        <v/>
      </c>
      <c r="J52" s="34" t="str">
        <f>IFERROR(VLOOKUP($D52,'Master Sheet'!$B:$AA,5,FALSE),"")</f>
        <v/>
      </c>
      <c r="K52" s="35" t="str">
        <f>IFERROR(VLOOKUP($D52,'Master Sheet'!$B:$AA,8,FALSE),"")</f>
        <v/>
      </c>
      <c r="M52" s="9"/>
    </row>
    <row r="53" spans="1:13" ht="13.5" thickBot="1" x14ac:dyDescent="0.3">
      <c r="A53" s="10"/>
      <c r="B53" s="31"/>
      <c r="C53" s="46" t="s">
        <v>26</v>
      </c>
      <c r="D53" s="49"/>
      <c r="E53" s="48"/>
      <c r="F53" s="47"/>
      <c r="G53" s="49"/>
      <c r="H53" s="47"/>
      <c r="I53" s="47"/>
      <c r="J53" s="61"/>
      <c r="K53" s="62"/>
      <c r="M53" s="9"/>
    </row>
    <row r="54" spans="1:13" x14ac:dyDescent="0.25">
      <c r="A54" s="10"/>
      <c r="B54" s="31"/>
      <c r="C54" s="31"/>
      <c r="D54" s="53" t="s">
        <v>27</v>
      </c>
      <c r="E54" s="33"/>
      <c r="F54" s="2"/>
      <c r="G54" s="17" t="str">
        <f>IFERROR(VLOOKUP($D54,'Master Sheet'!$B:$AA,3,FALSE),"")</f>
        <v>ME-1 STEREO MICROPHONE</v>
      </c>
      <c r="H54" s="2"/>
      <c r="I54" s="2" t="str">
        <f>IFERROR(VLOOKUP($D54,'Master Sheet'!$B:$AA,2,FALSE),"")</f>
        <v>VBW30001</v>
      </c>
      <c r="J54" s="34" t="str">
        <f>IFERROR(VLOOKUP($D54,'Master Sheet'!$B:$AA,5,FALSE),"")</f>
        <v>018208270453</v>
      </c>
      <c r="K54" s="35">
        <f>IFERROR(VLOOKUP($D54,'Master Sheet'!$B:$AA,8,FALSE),"")</f>
        <v>3464.9549999999999</v>
      </c>
      <c r="M54" s="9"/>
    </row>
    <row r="55" spans="1:13" ht="13.5" thickBot="1" x14ac:dyDescent="0.3">
      <c r="A55" s="10"/>
      <c r="B55" s="31"/>
      <c r="C55" s="31"/>
      <c r="D55" s="53"/>
      <c r="E55" s="33"/>
      <c r="F55" s="2"/>
      <c r="G55" s="17" t="str">
        <f>IFERROR(VLOOKUP($D55,'Master Sheet'!$B:$AA,3,FALSE),"")</f>
        <v/>
      </c>
      <c r="H55" s="2"/>
      <c r="I55" s="2" t="str">
        <f>IFERROR(VLOOKUP($D55,'Master Sheet'!$B:$AA,2,FALSE),"")</f>
        <v/>
      </c>
      <c r="J55" s="34" t="str">
        <f>IFERROR(VLOOKUP($D55,'Master Sheet'!$B:$AA,5,FALSE),"")</f>
        <v/>
      </c>
      <c r="K55" s="35" t="str">
        <f>IFERROR(VLOOKUP($D55,'Master Sheet'!$B:$AA,8,FALSE),"")</f>
        <v/>
      </c>
      <c r="M55" s="9"/>
    </row>
    <row r="56" spans="1:13" ht="13.5" thickBot="1" x14ac:dyDescent="0.3">
      <c r="A56" s="10"/>
      <c r="B56" s="31"/>
      <c r="C56" s="46" t="s">
        <v>640</v>
      </c>
      <c r="D56" s="49"/>
      <c r="E56" s="48"/>
      <c r="F56" s="47"/>
      <c r="G56" s="49"/>
      <c r="H56" s="47"/>
      <c r="I56" s="47"/>
      <c r="J56" s="61"/>
      <c r="K56" s="62"/>
      <c r="M56" s="9"/>
    </row>
    <row r="57" spans="1:13" x14ac:dyDescent="0.25">
      <c r="A57" s="10"/>
      <c r="B57" s="31"/>
      <c r="C57" s="31"/>
      <c r="D57" s="53" t="s">
        <v>581</v>
      </c>
      <c r="E57" s="33"/>
      <c r="F57" s="2"/>
      <c r="G57" s="17" t="str">
        <f>IFERROR(VLOOKUP($D57,'Master Sheet'!$B:$AA,3,FALSE),"")</f>
        <v>DK-29  RUBBER EYECUP (Z6 &amp; Z7)</v>
      </c>
      <c r="H57" s="2"/>
      <c r="I57" s="2" t="str">
        <f>IFERROR(VLOOKUP($D57,'Master Sheet'!$B:$AA,2,FALSE),"")</f>
        <v>VOW00201</v>
      </c>
      <c r="J57" s="34" t="str">
        <f>IFERROR(VLOOKUP($D57,'Master Sheet'!$B:$AA,5,FALSE),"")</f>
        <v>018208042210</v>
      </c>
      <c r="K57" s="35">
        <f>IFERROR(VLOOKUP($D57,'Master Sheet'!$B:$AA,8,FALSE),"")</f>
        <v>134.95499999999998</v>
      </c>
      <c r="M57" s="9"/>
    </row>
    <row r="58" spans="1:13" ht="13.5" thickBot="1" x14ac:dyDescent="0.3">
      <c r="A58" s="10"/>
      <c r="B58" s="31"/>
      <c r="C58" s="31"/>
      <c r="D58" s="53"/>
      <c r="E58" s="33"/>
      <c r="F58" s="2"/>
      <c r="G58" s="17" t="str">
        <f>IFERROR(VLOOKUP($D58,'Master Sheet'!$B:$AA,3,FALSE),"")</f>
        <v/>
      </c>
      <c r="H58" s="2"/>
      <c r="I58" s="2" t="str">
        <f>IFERROR(VLOOKUP($D58,'Master Sheet'!$B:$AA,2,FALSE),"")</f>
        <v/>
      </c>
      <c r="J58" s="34" t="str">
        <f>IFERROR(VLOOKUP($D58,'Master Sheet'!$B:$AA,5,FALSE),"")</f>
        <v/>
      </c>
      <c r="K58" s="35" t="str">
        <f>IFERROR(VLOOKUP($D58,'Master Sheet'!$B:$AA,8,FALSE),"")</f>
        <v/>
      </c>
      <c r="M58" s="9"/>
    </row>
    <row r="59" spans="1:13" ht="13.5" thickBot="1" x14ac:dyDescent="0.3">
      <c r="A59" s="10"/>
      <c r="B59" s="31"/>
      <c r="C59" s="46" t="s">
        <v>30</v>
      </c>
      <c r="D59" s="49"/>
      <c r="E59" s="48"/>
      <c r="F59" s="47"/>
      <c r="G59" s="49"/>
      <c r="H59" s="47"/>
      <c r="I59" s="47"/>
      <c r="J59" s="61"/>
      <c r="K59" s="62"/>
      <c r="M59" s="9"/>
    </row>
    <row r="60" spans="1:13" x14ac:dyDescent="0.25">
      <c r="A60" s="10"/>
      <c r="B60" s="31"/>
      <c r="C60" s="31"/>
      <c r="D60" s="53" t="s">
        <v>269</v>
      </c>
      <c r="E60" s="33"/>
      <c r="F60" s="2"/>
      <c r="G60" s="17" t="str">
        <f>IFERROR(VLOOKUP($D60,'Master Sheet'!$B:$AA,3,FALSE),"")</f>
        <v>USB Cable UC-E24</v>
      </c>
      <c r="H60" s="2"/>
      <c r="I60" s="2" t="str">
        <f>IFERROR(VLOOKUP($D60,'Master Sheet'!$B:$AA,2,FALSE),"")</f>
        <v>VDU10701</v>
      </c>
      <c r="J60" s="34" t="str">
        <f>IFERROR(VLOOKUP($D60,'Master Sheet'!$B:$AA,5,FALSE),"")</f>
        <v>018208042166</v>
      </c>
      <c r="K60" s="35">
        <f>IFERROR(VLOOKUP($D60,'Master Sheet'!$B:$AA,8,FALSE),"")</f>
        <v>512.95500000000004</v>
      </c>
      <c r="M60" s="9"/>
    </row>
    <row r="61" spans="1:13" x14ac:dyDescent="0.25">
      <c r="A61" s="10"/>
      <c r="B61" s="31"/>
      <c r="C61" s="31"/>
      <c r="D61" s="53" t="s">
        <v>270</v>
      </c>
      <c r="E61" s="33"/>
      <c r="F61" s="2"/>
      <c r="G61" s="17" t="str">
        <f>IFERROR(VLOOKUP($D61,'Master Sheet'!$B:$AA,3,FALSE),"")</f>
        <v>USB Cable UC-E25</v>
      </c>
      <c r="H61" s="2"/>
      <c r="I61" s="2" t="str">
        <f>IFERROR(VLOOKUP($D61,'Master Sheet'!$B:$AA,2,FALSE),"")</f>
        <v>VDU10801</v>
      </c>
      <c r="J61" s="34" t="str">
        <f>IFERROR(VLOOKUP($D61,'Master Sheet'!$B:$AA,5,FALSE),"")</f>
        <v>018208042234</v>
      </c>
      <c r="K61" s="35">
        <f>IFERROR(VLOOKUP($D61,'Master Sheet'!$B:$AA,8,FALSE),"")</f>
        <v>575.95500000000004</v>
      </c>
      <c r="M61" s="9"/>
    </row>
    <row r="62" spans="1:13" x14ac:dyDescent="0.25">
      <c r="A62" s="10"/>
      <c r="B62" s="31"/>
      <c r="C62" s="31"/>
      <c r="D62" s="53"/>
      <c r="E62" s="33"/>
      <c r="F62" s="2"/>
      <c r="G62" s="17" t="str">
        <f>IFERROR(VLOOKUP($D62,'Master Sheet'!$B:$AA,3,FALSE),"")</f>
        <v/>
      </c>
      <c r="H62" s="2"/>
      <c r="I62" s="2" t="str">
        <f>IFERROR(VLOOKUP($D62,'Master Sheet'!$B:$AA,2,FALSE),"")</f>
        <v/>
      </c>
      <c r="J62" s="34" t="str">
        <f>IFERROR(VLOOKUP($D62,'Master Sheet'!$B:$AA,5,FALSE),"")</f>
        <v/>
      </c>
      <c r="K62" s="35" t="str">
        <f>IFERROR(VLOOKUP($D62,'Master Sheet'!$B:$AA,8,FALSE),"")</f>
        <v/>
      </c>
      <c r="M62" s="9"/>
    </row>
    <row r="63" spans="1:13" x14ac:dyDescent="0.25">
      <c r="A63" s="10"/>
      <c r="B63" s="33"/>
      <c r="C63" s="31"/>
      <c r="D63" s="53"/>
      <c r="E63" s="33"/>
      <c r="F63" s="2"/>
      <c r="G63" s="17" t="str">
        <f>IFERROR(VLOOKUP($D63,'Master Sheet'!$B:$AA,3,FALSE),"")</f>
        <v/>
      </c>
      <c r="H63" s="2"/>
      <c r="I63" s="2" t="str">
        <f>IFERROR(VLOOKUP($D63,'Master Sheet'!$B:$AA,2,FALSE),"")</f>
        <v/>
      </c>
      <c r="J63" s="34" t="str">
        <f>IFERROR(VLOOKUP($D63,'Master Sheet'!$B:$AA,5,FALSE),"")</f>
        <v/>
      </c>
      <c r="K63" s="35" t="str">
        <f>IFERROR(VLOOKUP($D63,'Master Sheet'!$B:$AA,8,FALSE),"")</f>
        <v/>
      </c>
      <c r="M63" s="9"/>
    </row>
    <row r="64" spans="1:13" x14ac:dyDescent="0.25">
      <c r="A64" s="10"/>
      <c r="B64" s="10"/>
      <c r="C64" s="10"/>
      <c r="D64" s="16"/>
      <c r="E64" s="10"/>
      <c r="F64" s="10"/>
      <c r="G64" s="50"/>
      <c r="H64" s="6"/>
      <c r="I64" s="6"/>
      <c r="J64" s="51"/>
      <c r="K64" s="52"/>
      <c r="L64" s="9"/>
      <c r="M64" s="9"/>
    </row>
  </sheetData>
  <mergeCells count="5">
    <mergeCell ref="D11:D12"/>
    <mergeCell ref="D14:D15"/>
    <mergeCell ref="D17:D18"/>
    <mergeCell ref="G20:K20"/>
    <mergeCell ref="D20:D21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72BA-6A73-4D59-AE6C-9E6DE0611445}">
  <sheetPr>
    <pageSetUpPr fitToPage="1"/>
  </sheetPr>
  <dimension ref="A1:M65"/>
  <sheetViews>
    <sheetView showGridLines="0" showRowColHeaders="0" zoomScale="85" zoomScaleNormal="85" workbookViewId="0">
      <selection activeCell="K22" sqref="K22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53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18" t="s">
        <v>0</v>
      </c>
      <c r="D3" s="19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37" t="s">
        <v>1</v>
      </c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18" t="s">
        <v>2</v>
      </c>
      <c r="D5" s="50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37" t="s">
        <v>658</v>
      </c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18" t="s">
        <v>3</v>
      </c>
      <c r="D7" s="50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1"/>
      <c r="D8" s="37" t="s">
        <v>796</v>
      </c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37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18" t="s">
        <v>4</v>
      </c>
      <c r="D10" s="50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37"/>
      <c r="D11" s="94" t="s">
        <v>659</v>
      </c>
      <c r="E11" s="36"/>
      <c r="F11" s="8"/>
      <c r="G11" s="22"/>
      <c r="H11" s="8"/>
      <c r="J11" s="34"/>
      <c r="K11" s="35"/>
      <c r="M11" s="9"/>
    </row>
    <row r="12" spans="1:13" ht="27.6" customHeight="1" x14ac:dyDescent="0.25">
      <c r="A12" s="10"/>
      <c r="B12" s="31"/>
      <c r="C12" s="37"/>
      <c r="D12" s="94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18" t="s">
        <v>5</v>
      </c>
      <c r="D13" s="50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94" t="s">
        <v>657</v>
      </c>
      <c r="E14" s="36"/>
      <c r="F14" s="8"/>
      <c r="G14" s="22"/>
      <c r="H14" s="8"/>
      <c r="J14" s="34"/>
      <c r="K14" s="35"/>
      <c r="M14" s="9"/>
    </row>
    <row r="15" spans="1:13" x14ac:dyDescent="0.25">
      <c r="A15" s="10"/>
      <c r="B15" s="31"/>
      <c r="C15" s="31"/>
      <c r="D15" s="94"/>
      <c r="E15" s="36"/>
      <c r="F15" s="8"/>
      <c r="G15" s="22"/>
      <c r="H15" s="8"/>
      <c r="J15" s="34"/>
      <c r="K15" s="35"/>
      <c r="M15" s="9"/>
    </row>
    <row r="16" spans="1:13" x14ac:dyDescent="0.25">
      <c r="A16" s="10"/>
      <c r="B16" s="31"/>
      <c r="C16" s="18" t="s">
        <v>6</v>
      </c>
      <c r="D16" s="50"/>
      <c r="E16" s="36"/>
      <c r="F16" s="8"/>
      <c r="G16" s="22"/>
      <c r="H16" s="8"/>
      <c r="J16" s="34"/>
      <c r="K16" s="35"/>
      <c r="M16" s="9"/>
    </row>
    <row r="17" spans="1:13" ht="13.9" customHeight="1" x14ac:dyDescent="0.25">
      <c r="A17" s="10"/>
      <c r="B17" s="31"/>
      <c r="C17" s="31"/>
      <c r="D17" s="94" t="s">
        <v>795</v>
      </c>
      <c r="E17" s="36"/>
      <c r="F17" s="8"/>
      <c r="G17" s="22"/>
      <c r="H17" s="8"/>
      <c r="J17" s="34"/>
      <c r="K17" s="35"/>
      <c r="M17" s="9"/>
    </row>
    <row r="18" spans="1:13" x14ac:dyDescent="0.25">
      <c r="A18" s="10"/>
      <c r="B18" s="31"/>
      <c r="C18" s="31"/>
      <c r="D18" s="94"/>
      <c r="E18" s="36"/>
      <c r="F18" s="8"/>
      <c r="G18" s="22"/>
      <c r="H18" s="8"/>
      <c r="J18" s="34"/>
      <c r="K18" s="35"/>
      <c r="M18" s="9"/>
    </row>
    <row r="19" spans="1:13" ht="13.5" thickBot="1" x14ac:dyDescent="0.3">
      <c r="A19" s="10"/>
      <c r="B19" s="31"/>
      <c r="C19" s="18" t="s">
        <v>7</v>
      </c>
      <c r="D19" s="50"/>
      <c r="E19" s="36"/>
      <c r="F19" s="8"/>
      <c r="G19" s="22"/>
      <c r="H19" s="8"/>
      <c r="J19" s="34"/>
      <c r="K19" s="35"/>
      <c r="M19" s="9"/>
    </row>
    <row r="20" spans="1:13" ht="13.5" thickBot="1" x14ac:dyDescent="0.3">
      <c r="A20" s="10"/>
      <c r="B20" s="31"/>
      <c r="C20" s="31"/>
      <c r="D20" s="94" t="s">
        <v>793</v>
      </c>
      <c r="E20" s="36"/>
      <c r="F20" s="8"/>
      <c r="G20" s="90" t="s">
        <v>671</v>
      </c>
      <c r="H20" s="91"/>
      <c r="I20" s="91"/>
      <c r="J20" s="91"/>
      <c r="K20" s="92"/>
      <c r="M20" s="9"/>
    </row>
    <row r="21" spans="1:13" ht="13.5" thickBot="1" x14ac:dyDescent="0.3">
      <c r="A21" s="10"/>
      <c r="B21" s="31"/>
      <c r="C21" s="31"/>
      <c r="D21" s="95"/>
      <c r="E21" s="36"/>
      <c r="F21" s="8"/>
      <c r="G21" s="22"/>
      <c r="H21" s="8"/>
      <c r="J21" s="34"/>
      <c r="K21" s="35"/>
      <c r="M21" s="9"/>
    </row>
    <row r="22" spans="1:13" ht="13.5" thickBot="1" x14ac:dyDescent="0.3">
      <c r="A22" s="10"/>
      <c r="B22" s="31"/>
      <c r="C22" s="39" t="s">
        <v>48</v>
      </c>
      <c r="D22" s="60"/>
      <c r="E22" s="40"/>
      <c r="F22" s="55"/>
      <c r="G22" s="41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3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3" x14ac:dyDescent="0.25">
      <c r="A24" s="10"/>
      <c r="B24" s="31"/>
      <c r="C24" s="31"/>
      <c r="D24" s="53" t="s">
        <v>366</v>
      </c>
      <c r="E24" s="33"/>
      <c r="F24" s="2"/>
      <c r="G24" s="17" t="str">
        <f>IFERROR(VLOOKUP($D24,'Master Sheet'!$B:$AA,3,FALSE),"")</f>
        <v>Nikon Z5 Mirrorless Digital Camera (Body Only)</v>
      </c>
      <c r="H24" s="2"/>
      <c r="I24" s="2" t="str">
        <f>IFERROR(VLOOKUP($D24,'Master Sheet'!$B:$AA,2,FALSE),"")</f>
        <v>VOA040AM</v>
      </c>
      <c r="J24" s="34" t="str">
        <f>IFERROR(VLOOKUP($D24,'Master Sheet'!$B:$AA,5,FALSE),"")</f>
        <v>4960759912596</v>
      </c>
      <c r="K24" s="35">
        <f>IFERROR(VLOOKUP($D24,'Master Sheet'!$B:$AA,8,FALSE),"")</f>
        <v>24263.955000000002</v>
      </c>
      <c r="M24" s="9"/>
    </row>
    <row r="25" spans="1:13" ht="25.5" x14ac:dyDescent="0.25">
      <c r="A25" s="10"/>
      <c r="B25" s="31"/>
      <c r="C25" s="31"/>
      <c r="D25" s="53" t="s">
        <v>804</v>
      </c>
      <c r="E25" s="33"/>
      <c r="F25" s="2"/>
      <c r="G25" s="17" t="str">
        <f>IFERROR(VLOOKUP($D25,'Master Sheet'!$B:$AA,3,FALSE),"")</f>
        <v>Nikon Z5 Mirrorless Digital Camera+Z 24-50mm f3.5-6.3 Lens</v>
      </c>
      <c r="H25" s="2"/>
      <c r="I25" s="2">
        <f>IFERROR(VLOOKUP($D25,'Master Sheet'!$B:$AA,2,FALSE),"")</f>
        <v>0</v>
      </c>
      <c r="J25" s="34">
        <f>IFERROR(VLOOKUP($D25,'Master Sheet'!$B:$AA,5,FALSE),"")</f>
        <v>6009658262048</v>
      </c>
      <c r="K25" s="35">
        <f>IFERROR(VLOOKUP($D25,'Master Sheet'!$B:$AA,8,FALSE),"")</f>
        <v>29744.954999999998</v>
      </c>
      <c r="M25" s="9"/>
    </row>
    <row r="26" spans="1:13" ht="13.5" thickBot="1" x14ac:dyDescent="0.3">
      <c r="A26" s="10"/>
      <c r="B26" s="31"/>
      <c r="C26" s="31"/>
      <c r="D26" s="53"/>
      <c r="E26" s="33"/>
      <c r="F26" s="2"/>
      <c r="G26" s="17" t="str">
        <f>IFERROR(VLOOKUP($D26,'Master Sheet'!$B:$AA,3,FALSE),"")</f>
        <v/>
      </c>
      <c r="H26" s="2"/>
      <c r="I26" s="2" t="str">
        <f>IFERROR(VLOOKUP($D26,'Master Sheet'!$B:$AA,2,FALSE),"")</f>
        <v/>
      </c>
      <c r="J26" s="34" t="str">
        <f>IFERROR(VLOOKUP($D26,'Master Sheet'!$B:$AA,5,FALSE),"")</f>
        <v/>
      </c>
      <c r="K26" s="35" t="str">
        <f>IFERROR(VLOOKUP($D26,'Master Sheet'!$B:$AA,8,FALSE),"")</f>
        <v/>
      </c>
      <c r="M26" s="9"/>
    </row>
    <row r="27" spans="1:13" ht="13.5" thickBot="1" x14ac:dyDescent="0.3">
      <c r="A27" s="10"/>
      <c r="B27" s="31"/>
      <c r="C27" s="46" t="s">
        <v>31</v>
      </c>
      <c r="D27" s="49"/>
      <c r="E27" s="48"/>
      <c r="F27" s="47"/>
      <c r="G27" s="49"/>
      <c r="H27" s="47"/>
      <c r="I27" s="47"/>
      <c r="J27" s="61"/>
      <c r="K27" s="62"/>
      <c r="M27" s="9"/>
    </row>
    <row r="28" spans="1:13" x14ac:dyDescent="0.25">
      <c r="A28" s="10"/>
      <c r="B28" s="31"/>
      <c r="C28" s="31"/>
      <c r="D28" s="53" t="s">
        <v>435</v>
      </c>
      <c r="E28" s="33"/>
      <c r="F28" s="2"/>
      <c r="G28" s="17" t="str">
        <f>IFERROR(VLOOKUP($D28,'Master Sheet'!$B:$AA,3,FALSE),"")</f>
        <v>BF-N1 Body Cap (Z-Series)</v>
      </c>
      <c r="H28" s="2"/>
      <c r="I28" s="2" t="str">
        <f>IFERROR(VLOOKUP($D28,'Master Sheet'!$B:$AA,2,FALSE),"")</f>
        <v>VOD00101</v>
      </c>
      <c r="J28" s="34" t="str">
        <f>IFERROR(VLOOKUP($D28,'Master Sheet'!$B:$AA,5,FALSE),"")</f>
        <v>4960759901002</v>
      </c>
      <c r="K28" s="35">
        <f>IFERROR(VLOOKUP($D28,'Master Sheet'!$B:$AA,8,FALSE),"")</f>
        <v>116.955</v>
      </c>
      <c r="M28" s="9"/>
    </row>
    <row r="29" spans="1:13" ht="13.5" thickBot="1" x14ac:dyDescent="0.3">
      <c r="A29" s="10"/>
      <c r="B29" s="31"/>
      <c r="C29" s="31"/>
      <c r="D29" s="53"/>
      <c r="E29" s="33"/>
      <c r="F29" s="2"/>
      <c r="H29" s="2"/>
      <c r="J29" s="34"/>
      <c r="K29" s="35"/>
      <c r="M29" s="9"/>
    </row>
    <row r="30" spans="1:13" ht="13.5" thickBot="1" x14ac:dyDescent="0.3">
      <c r="A30" s="10"/>
      <c r="B30" s="31"/>
      <c r="C30" s="46" t="s">
        <v>641</v>
      </c>
      <c r="D30" s="49"/>
      <c r="E30" s="48"/>
      <c r="F30" s="47"/>
      <c r="G30" s="49"/>
      <c r="H30" s="47"/>
      <c r="I30" s="47"/>
      <c r="J30" s="61"/>
      <c r="K30" s="62"/>
      <c r="M30" s="9"/>
    </row>
    <row r="31" spans="1:13" x14ac:dyDescent="0.25">
      <c r="A31" s="10"/>
      <c r="B31" s="31"/>
      <c r="C31" s="31"/>
      <c r="D31" s="53" t="s">
        <v>481</v>
      </c>
      <c r="E31" s="33"/>
      <c r="F31" s="2"/>
      <c r="G31" s="17" t="str">
        <f>IFERROR(VLOOKUP($D31,'Master Sheet'!$B:$AA,3,FALSE),"")</f>
        <v>FTZ II Mount Adapter</v>
      </c>
      <c r="H31" s="2"/>
      <c r="I31" s="2" t="str">
        <f>IFERROR(VLOOKUP($D31,'Master Sheet'!$B:$AA,2,FALSE),"")</f>
        <v>JMA905DA</v>
      </c>
      <c r="J31" s="34" t="str">
        <f>IFERROR(VLOOKUP($D31,'Master Sheet'!$B:$AA,5,FALSE),"")</f>
        <v>018208042647</v>
      </c>
      <c r="K31" s="35">
        <f>IFERROR(VLOOKUP($D31,'Master Sheet'!$B:$AA,8,FALSE),"")</f>
        <v>4049.9549999999999</v>
      </c>
      <c r="M31" s="9"/>
    </row>
    <row r="32" spans="1:13" ht="13.5" thickBot="1" x14ac:dyDescent="0.3">
      <c r="A32" s="10"/>
      <c r="B32" s="31"/>
      <c r="C32" s="31"/>
      <c r="D32" s="53"/>
      <c r="E32" s="33"/>
      <c r="F32" s="2"/>
      <c r="G32" s="17" t="str">
        <f>IFERROR(VLOOKUP($D32,'Master Sheet'!$B:$AA,3,FALSE),"")</f>
        <v/>
      </c>
      <c r="H32" s="2"/>
      <c r="I32" s="2" t="str">
        <f>IFERROR(VLOOKUP($D32,'Master Sheet'!$B:$AA,2,FALSE),"")</f>
        <v/>
      </c>
      <c r="J32" s="34" t="str">
        <f>IFERROR(VLOOKUP($D32,'Master Sheet'!$B:$AA,5,FALSE),"")</f>
        <v/>
      </c>
      <c r="K32" s="35" t="str">
        <f>IFERROR(VLOOKUP($D32,'Master Sheet'!$B:$AA,8,FALSE),"")</f>
        <v/>
      </c>
      <c r="M32" s="9"/>
    </row>
    <row r="33" spans="1:13" ht="13.5" thickBot="1" x14ac:dyDescent="0.3">
      <c r="A33" s="10"/>
      <c r="B33" s="31"/>
      <c r="C33" s="46" t="s">
        <v>8</v>
      </c>
      <c r="D33" s="49"/>
      <c r="E33" s="48"/>
      <c r="F33" s="47"/>
      <c r="G33" s="49"/>
      <c r="H33" s="47"/>
      <c r="I33" s="47"/>
      <c r="J33" s="61"/>
      <c r="K33" s="62"/>
      <c r="M33" s="9"/>
    </row>
    <row r="34" spans="1:13" x14ac:dyDescent="0.25">
      <c r="A34" s="10"/>
      <c r="B34" s="31"/>
      <c r="C34" s="31"/>
      <c r="D34" s="53"/>
      <c r="E34" s="33"/>
      <c r="F34" s="2"/>
      <c r="G34" s="17" t="s">
        <v>649</v>
      </c>
      <c r="H34" s="2"/>
      <c r="I34" s="2" t="str">
        <f>IFERROR(VLOOKUP($D34,'Master Sheet'!$B:$AA,2,FALSE),"")</f>
        <v/>
      </c>
      <c r="J34" s="34" t="str">
        <f>IFERROR(VLOOKUP($D34,'Master Sheet'!$B:$AA,5,FALSE),"")</f>
        <v/>
      </c>
      <c r="K34" s="35" t="str">
        <f>IFERROR(VLOOKUP($D34,'Master Sheet'!$B:$AA,8,FALSE),"")</f>
        <v/>
      </c>
      <c r="M34" s="9"/>
    </row>
    <row r="35" spans="1:13" ht="13.5" thickBot="1" x14ac:dyDescent="0.3">
      <c r="A35" s="10"/>
      <c r="B35" s="31"/>
      <c r="C35" s="31"/>
      <c r="D35" s="53"/>
      <c r="E35" s="33"/>
      <c r="F35" s="2"/>
      <c r="G35" s="17" t="str">
        <f>IFERROR(VLOOKUP($D35,'Master Sheet'!$B:$AA,3,FALSE),"")</f>
        <v/>
      </c>
      <c r="H35" s="2"/>
      <c r="I35" s="2" t="str">
        <f>IFERROR(VLOOKUP($D35,'Master Sheet'!$B:$AA,2,FALSE),"")</f>
        <v/>
      </c>
      <c r="J35" s="34" t="str">
        <f>IFERROR(VLOOKUP($D35,'Master Sheet'!$B:$AA,5,FALSE),"")</f>
        <v/>
      </c>
      <c r="K35" s="35" t="str">
        <f>IFERROR(VLOOKUP($D35,'Master Sheet'!$B:$AA,8,FALSE),"")</f>
        <v/>
      </c>
      <c r="M35" s="9"/>
    </row>
    <row r="36" spans="1:13" ht="13.5" thickBot="1" x14ac:dyDescent="0.3">
      <c r="A36" s="10"/>
      <c r="B36" s="31"/>
      <c r="C36" s="46" t="s">
        <v>9</v>
      </c>
      <c r="D36" s="49"/>
      <c r="E36" s="48"/>
      <c r="F36" s="47"/>
      <c r="G36" s="49"/>
      <c r="H36" s="47"/>
      <c r="I36" s="47"/>
      <c r="J36" s="61"/>
      <c r="K36" s="62"/>
      <c r="M36" s="9"/>
    </row>
    <row r="37" spans="1:13" x14ac:dyDescent="0.25">
      <c r="A37" s="10"/>
      <c r="B37" s="31"/>
      <c r="C37" s="31"/>
      <c r="D37" s="53"/>
      <c r="E37" s="33"/>
      <c r="F37" s="2"/>
      <c r="G37" s="17" t="s">
        <v>650</v>
      </c>
      <c r="H37" s="2"/>
      <c r="I37" s="2" t="str">
        <f>IFERROR(VLOOKUP($D37,'Master Sheet'!$B:$AA,2,FALSE),"")</f>
        <v/>
      </c>
      <c r="J37" s="34" t="str">
        <f>IFERROR(VLOOKUP($D37,'Master Sheet'!$B:$AA,5,FALSE),"")</f>
        <v/>
      </c>
      <c r="K37" s="35" t="str">
        <f>IFERROR(VLOOKUP($D37,'Master Sheet'!$B:$AA,8,FALSE),"")</f>
        <v/>
      </c>
      <c r="M37" s="9"/>
    </row>
    <row r="38" spans="1:13" ht="13.5" thickBot="1" x14ac:dyDescent="0.3">
      <c r="A38" s="10"/>
      <c r="B38" s="31"/>
      <c r="C38" s="31"/>
      <c r="D38" s="53"/>
      <c r="E38" s="33"/>
      <c r="F38" s="2"/>
      <c r="G38" s="17" t="str">
        <f>IFERROR(VLOOKUP($D38,'Master Sheet'!$B:$AA,3,FALSE),"")</f>
        <v/>
      </c>
      <c r="H38" s="2"/>
      <c r="I38" s="2" t="str">
        <f>IFERROR(VLOOKUP($D38,'Master Sheet'!$B:$AA,2,FALSE),"")</f>
        <v/>
      </c>
      <c r="J38" s="34" t="str">
        <f>IFERROR(VLOOKUP($D38,'Master Sheet'!$B:$AA,5,FALSE),"")</f>
        <v/>
      </c>
      <c r="K38" s="35" t="str">
        <f>IFERROR(VLOOKUP($D38,'Master Sheet'!$B:$AA,8,FALSE),"")</f>
        <v/>
      </c>
      <c r="M38" s="9"/>
    </row>
    <row r="39" spans="1:13" ht="13.5" thickBot="1" x14ac:dyDescent="0.3">
      <c r="A39" s="10"/>
      <c r="B39" s="31"/>
      <c r="C39" s="46" t="s">
        <v>23</v>
      </c>
      <c r="D39" s="49"/>
      <c r="E39" s="48"/>
      <c r="F39" s="47"/>
      <c r="G39" s="49"/>
      <c r="H39" s="47"/>
      <c r="I39" s="47"/>
      <c r="J39" s="61"/>
      <c r="K39" s="62"/>
      <c r="M39" s="9"/>
    </row>
    <row r="40" spans="1:13" x14ac:dyDescent="0.25">
      <c r="A40" s="10"/>
      <c r="B40" s="31"/>
      <c r="C40" s="31"/>
      <c r="D40" s="53" t="s">
        <v>272</v>
      </c>
      <c r="E40" s="33"/>
      <c r="F40" s="2"/>
      <c r="G40" s="17" t="str">
        <f>IFERROR(VLOOKUP($D40,'Master Sheet'!$B:$AA,3,FALSE),"")</f>
        <v>AC Adapter EH-5d</v>
      </c>
      <c r="H40" s="2"/>
      <c r="I40" s="2" t="str">
        <f>IFERROR(VLOOKUP($D40,'Master Sheet'!$B:$AA,2,FALSE),"")</f>
        <v>VEB033EA</v>
      </c>
      <c r="J40" s="34" t="str">
        <f>IFERROR(VLOOKUP($D40,'Master Sheet'!$B:$AA,5,FALSE),"")</f>
        <v>4960759903143</v>
      </c>
      <c r="K40" s="35">
        <f>IFERROR(VLOOKUP($D40,'Master Sheet'!$B:$AA,8,FALSE),"")</f>
        <v>1736.9550000000002</v>
      </c>
      <c r="M40" s="9"/>
    </row>
    <row r="41" spans="1:13" x14ac:dyDescent="0.25">
      <c r="A41" s="10"/>
      <c r="B41" s="31"/>
      <c r="C41" s="31"/>
      <c r="D41" s="53" t="s">
        <v>690</v>
      </c>
      <c r="E41" s="33"/>
      <c r="F41" s="2"/>
      <c r="G41" s="17" t="str">
        <f>IFERROR(VLOOKUP($D41,'Master Sheet'!$B:$AA,3,FALSE),"")</f>
        <v>Charging AC Adapter EH-7P</v>
      </c>
      <c r="H41" s="2"/>
      <c r="I41" s="2" t="str">
        <f>IFERROR(VLOOKUP($D41,'Master Sheet'!$B:$AA,2,FALSE),"")</f>
        <v>VEB029BA</v>
      </c>
      <c r="J41" s="34" t="str">
        <f>IFERROR(VLOOKUP($D41,'Master Sheet'!$B:$AA,5,FALSE),"")</f>
        <v>4960759901958</v>
      </c>
      <c r="K41" s="35">
        <f>IFERROR(VLOOKUP($D41,'Master Sheet'!$B:$AA,8,FALSE),"")</f>
        <v>917.95500000000004</v>
      </c>
      <c r="M41" s="9"/>
    </row>
    <row r="42" spans="1:13" x14ac:dyDescent="0.25">
      <c r="A42" s="10"/>
      <c r="B42" s="31"/>
      <c r="C42" s="31"/>
      <c r="D42" s="53" t="s">
        <v>367</v>
      </c>
      <c r="E42" s="33"/>
      <c r="F42" s="2"/>
      <c r="G42" s="17" t="str">
        <f>IFERROR(VLOOKUP($D42,'Master Sheet'!$B:$AA,3,FALSE),"")</f>
        <v>EN-EL15C RECHARGEABLE LI-ION BATTERY</v>
      </c>
      <c r="H42" s="2"/>
      <c r="I42" s="2" t="str">
        <f>IFERROR(VLOOKUP($D42,'Master Sheet'!$B:$AA,2,FALSE),"")</f>
        <v>VFB12802</v>
      </c>
      <c r="J42" s="34" t="str">
        <f>IFERROR(VLOOKUP($D42,'Master Sheet'!$B:$AA,5,FALSE),"")</f>
        <v>4960759904393</v>
      </c>
      <c r="K42" s="35">
        <f>IFERROR(VLOOKUP($D42,'Master Sheet'!$B:$AA,8,FALSE),"")</f>
        <v>1439.9550000000002</v>
      </c>
      <c r="M42" s="9"/>
    </row>
    <row r="43" spans="1:13" ht="25.5" x14ac:dyDescent="0.25">
      <c r="A43" s="10"/>
      <c r="B43" s="31"/>
      <c r="C43" s="31"/>
      <c r="D43" s="53" t="s">
        <v>83</v>
      </c>
      <c r="E43" s="33"/>
      <c r="F43" s="2"/>
      <c r="G43" s="17" t="str">
        <f>IFERROR(VLOOKUP($D43,'Master Sheet'!$B:$AA,3,FALSE),"")</f>
        <v>EP-5B POWER CONNECTOR - D7000/D7100/D600/D610/D800/E</v>
      </c>
      <c r="H43" s="2"/>
      <c r="I43" s="2" t="str">
        <f>IFERROR(VLOOKUP($D43,'Master Sheet'!$B:$AA,2,FALSE),"")</f>
        <v>VEB00901</v>
      </c>
      <c r="J43" s="34" t="str">
        <f>IFERROR(VLOOKUP($D43,'Master Sheet'!$B:$AA,5,FALSE),"")</f>
        <v>018208270149</v>
      </c>
      <c r="K43" s="35">
        <f>IFERROR(VLOOKUP($D43,'Master Sheet'!$B:$AA,8,FALSE),"")</f>
        <v>863.95500000000004</v>
      </c>
      <c r="M43" s="9"/>
    </row>
    <row r="44" spans="1:13" x14ac:dyDescent="0.25">
      <c r="A44" s="10"/>
      <c r="B44" s="31"/>
      <c r="C44" s="31"/>
      <c r="D44" s="32" t="s">
        <v>687</v>
      </c>
      <c r="E44" s="33"/>
      <c r="F44" s="2"/>
      <c r="G44" s="2" t="str">
        <f>IFERROR(VLOOKUP($D44,'Master Sheet'!$B:$AA,3,FALSE),"")</f>
        <v>Nikon MB-N10 battery pack for the Z6/Z7</v>
      </c>
      <c r="H44" s="2"/>
      <c r="I44" s="2" t="str">
        <f>IFERROR(VLOOKUP($D44,'Master Sheet'!$B:$AA,2,FALSE),"")</f>
        <v>VFC00801</v>
      </c>
      <c r="J44" s="34" t="str">
        <f>IFERROR(VLOOKUP($D44,'Master Sheet'!$B:$AA,5,FALSE),"")</f>
        <v>018208272044</v>
      </c>
      <c r="K44" s="35">
        <f>IFERROR(VLOOKUP($D44,'Master Sheet'!$B:$AA,8,FALSE),"")</f>
        <v>5039.9549999999999</v>
      </c>
      <c r="M44" s="9"/>
    </row>
    <row r="45" spans="1:13" x14ac:dyDescent="0.25">
      <c r="A45" s="10"/>
      <c r="B45" s="31"/>
      <c r="C45" s="31"/>
      <c r="D45" s="53" t="s">
        <v>24</v>
      </c>
      <c r="E45" s="33"/>
      <c r="F45" s="2"/>
      <c r="G45" s="17" t="str">
        <f>IFERROR(VLOOKUP($D45,'Master Sheet'!$B:$AA,3,FALSE),"")</f>
        <v>MH-25A BATTERY CHARGER - EN-EL15 Battery</v>
      </c>
      <c r="H45" s="2"/>
      <c r="I45" s="2" t="str">
        <f>IFERROR(VLOOKUP($D45,'Master Sheet'!$B:$AA,2,FALSE),"")</f>
        <v>VEA016EA</v>
      </c>
      <c r="J45" s="34" t="str">
        <f>IFERROR(VLOOKUP($D45,'Master Sheet'!$B:$AA,5,FALSE),"")</f>
        <v>018208941704</v>
      </c>
      <c r="K45" s="35">
        <f>IFERROR(VLOOKUP($D45,'Master Sheet'!$B:$AA,8,FALSE),"")</f>
        <v>1106.9550000000002</v>
      </c>
      <c r="M45" s="9"/>
    </row>
    <row r="46" spans="1:13" ht="13.5" thickBot="1" x14ac:dyDescent="0.3">
      <c r="A46" s="10"/>
      <c r="B46" s="31"/>
      <c r="C46" s="31"/>
      <c r="D46" s="53"/>
      <c r="E46" s="33"/>
      <c r="F46" s="2"/>
      <c r="G46" s="17" t="str">
        <f>IFERROR(VLOOKUP($D46,'Master Sheet'!$B:$AA,3,FALSE),"")</f>
        <v/>
      </c>
      <c r="H46" s="2"/>
      <c r="I46" s="2" t="str">
        <f>IFERROR(VLOOKUP($D46,'Master Sheet'!$B:$AA,2,FALSE),"")</f>
        <v/>
      </c>
      <c r="J46" s="34" t="str">
        <f>IFERROR(VLOOKUP($D46,'Master Sheet'!$B:$AA,5,FALSE),"")</f>
        <v/>
      </c>
      <c r="K46" s="35" t="str">
        <f>IFERROR(VLOOKUP($D46,'Master Sheet'!$B:$AA,8,FALSE),"")</f>
        <v/>
      </c>
      <c r="M46" s="9"/>
    </row>
    <row r="47" spans="1:13" ht="13.5" thickBot="1" x14ac:dyDescent="0.3">
      <c r="A47" s="10"/>
      <c r="B47" s="31"/>
      <c r="C47" s="46" t="s">
        <v>29</v>
      </c>
      <c r="D47" s="49"/>
      <c r="E47" s="48"/>
      <c r="F47" s="47"/>
      <c r="G47" s="49"/>
      <c r="H47" s="47"/>
      <c r="I47" s="47"/>
      <c r="J47" s="61"/>
      <c r="K47" s="62"/>
      <c r="M47" s="9"/>
    </row>
    <row r="48" spans="1:13" x14ac:dyDescent="0.25">
      <c r="A48" s="10"/>
      <c r="B48" s="31"/>
      <c r="C48" s="31"/>
      <c r="D48" s="53" t="s">
        <v>898</v>
      </c>
      <c r="E48" s="33"/>
      <c r="F48" s="2"/>
      <c r="G48" s="17" t="str">
        <f>IFERROR(VLOOKUP($D48,'Master Sheet'!$B:$AA,3,FALSE),"")</f>
        <v>Nikon MC-DC3 Remote Release Cord</v>
      </c>
      <c r="H48" s="2"/>
      <c r="I48" s="2" t="str">
        <f>IFERROR(VLOOKUP($D48,'Master Sheet'!$B:$AA,2,FALSE),"")</f>
        <v>VDR01001</v>
      </c>
      <c r="J48" s="34" t="str">
        <f>IFERROR(VLOOKUP($D48,'Master Sheet'!$B:$AA,5,FALSE),"")</f>
        <v>No Barcode</v>
      </c>
      <c r="K48" s="35">
        <f>IFERROR(VLOOKUP($D48,'Master Sheet'!$B:$AA,8,FALSE),"")</f>
        <v>584.95500000000004</v>
      </c>
      <c r="M48" s="9"/>
    </row>
    <row r="49" spans="1:13" x14ac:dyDescent="0.25">
      <c r="A49" s="10"/>
      <c r="B49" s="31"/>
      <c r="C49" s="31"/>
      <c r="D49" s="53" t="s">
        <v>35</v>
      </c>
      <c r="E49" s="33"/>
      <c r="F49" s="2"/>
      <c r="G49" s="17" t="str">
        <f>IFERROR(VLOOKUP($D49,'Master Sheet'!$B:$AA,3,FALSE),"")</f>
        <v xml:space="preserve">WR-T10 WIRELESS REMOTE TRANSMITTER </v>
      </c>
      <c r="H49" s="2"/>
      <c r="I49" s="2" t="str">
        <f>IFERROR(VLOOKUP($D49,'Master Sheet'!$B:$AA,2,FALSE),"")</f>
        <v>VBJ003AE</v>
      </c>
      <c r="J49" s="34" t="str">
        <f>IFERROR(VLOOKUP($D49,'Master Sheet'!$B:$AA,5,FALSE),"")</f>
        <v>018208933525</v>
      </c>
      <c r="K49" s="35">
        <f>IFERROR(VLOOKUP($D49,'Master Sheet'!$B:$AA,8,FALSE),"")</f>
        <v>1475.9550000000002</v>
      </c>
      <c r="M49" s="9"/>
    </row>
    <row r="50" spans="1:13" ht="13.5" thickBot="1" x14ac:dyDescent="0.3">
      <c r="A50" s="10"/>
      <c r="B50" s="31"/>
      <c r="C50" s="31"/>
      <c r="D50" s="53"/>
      <c r="E50" s="33"/>
      <c r="F50" s="2"/>
      <c r="G50" s="17" t="str">
        <f>IFERROR(VLOOKUP($D50,'Master Sheet'!$B:$AA,3,FALSE),"")</f>
        <v/>
      </c>
      <c r="H50" s="2"/>
      <c r="I50" s="2" t="str">
        <f>IFERROR(VLOOKUP($D50,'Master Sheet'!$B:$AA,2,FALSE),"")</f>
        <v/>
      </c>
      <c r="J50" s="34" t="str">
        <f>IFERROR(VLOOKUP($D50,'Master Sheet'!$B:$AA,5,FALSE),"")</f>
        <v/>
      </c>
      <c r="K50" s="35" t="str">
        <f>IFERROR(VLOOKUP($D50,'Master Sheet'!$B:$AA,8,FALSE),"")</f>
        <v/>
      </c>
      <c r="M50" s="9"/>
    </row>
    <row r="51" spans="1:13" ht="13.5" thickBot="1" x14ac:dyDescent="0.3">
      <c r="A51" s="10"/>
      <c r="B51" s="31"/>
      <c r="C51" s="46" t="s">
        <v>26</v>
      </c>
      <c r="D51" s="49"/>
      <c r="E51" s="48"/>
      <c r="F51" s="47"/>
      <c r="G51" s="49"/>
      <c r="H51" s="47"/>
      <c r="I51" s="47"/>
      <c r="J51" s="61"/>
      <c r="K51" s="62"/>
      <c r="M51" s="9"/>
    </row>
    <row r="52" spans="1:13" x14ac:dyDescent="0.25">
      <c r="A52" s="10"/>
      <c r="B52" s="31"/>
      <c r="C52" s="31"/>
      <c r="D52" s="53" t="s">
        <v>27</v>
      </c>
      <c r="E52" s="33"/>
      <c r="F52" s="2"/>
      <c r="G52" s="17" t="str">
        <f>IFERROR(VLOOKUP($D52,'Master Sheet'!$B:$AA,3,FALSE),"")</f>
        <v>ME-1 STEREO MICROPHONE</v>
      </c>
      <c r="H52" s="2"/>
      <c r="I52" s="2" t="str">
        <f>IFERROR(VLOOKUP($D52,'Master Sheet'!$B:$AA,2,FALSE),"")</f>
        <v>VBW30001</v>
      </c>
      <c r="J52" s="34" t="str">
        <f>IFERROR(VLOOKUP($D52,'Master Sheet'!$B:$AA,5,FALSE),"")</f>
        <v>018208270453</v>
      </c>
      <c r="K52" s="35">
        <f>IFERROR(VLOOKUP($D52,'Master Sheet'!$B:$AA,8,FALSE),"")</f>
        <v>3464.9549999999999</v>
      </c>
      <c r="M52" s="9"/>
    </row>
    <row r="53" spans="1:13" ht="13.5" thickBot="1" x14ac:dyDescent="0.3">
      <c r="A53" s="10"/>
      <c r="B53" s="31"/>
      <c r="C53" s="31"/>
      <c r="D53" s="53"/>
      <c r="E53" s="33"/>
      <c r="F53" s="2"/>
      <c r="G53" s="17" t="str">
        <f>IFERROR(VLOOKUP($D53,'Master Sheet'!$B:$AA,3,FALSE),"")</f>
        <v/>
      </c>
      <c r="H53" s="2"/>
      <c r="I53" s="2" t="str">
        <f>IFERROR(VLOOKUP($D53,'Master Sheet'!$B:$AA,2,FALSE),"")</f>
        <v/>
      </c>
      <c r="J53" s="34" t="str">
        <f>IFERROR(VLOOKUP($D53,'Master Sheet'!$B:$AA,5,FALSE),"")</f>
        <v/>
      </c>
      <c r="K53" s="35" t="str">
        <f>IFERROR(VLOOKUP($D53,'Master Sheet'!$B:$AA,8,FALSE),"")</f>
        <v/>
      </c>
      <c r="M53" s="9"/>
    </row>
    <row r="54" spans="1:13" ht="13.5" thickBot="1" x14ac:dyDescent="0.3">
      <c r="A54" s="10"/>
      <c r="B54" s="31"/>
      <c r="C54" s="46" t="s">
        <v>640</v>
      </c>
      <c r="D54" s="49"/>
      <c r="E54" s="48"/>
      <c r="F54" s="47"/>
      <c r="G54" s="49"/>
      <c r="H54" s="47"/>
      <c r="I54" s="47"/>
      <c r="J54" s="61"/>
      <c r="K54" s="62"/>
      <c r="M54" s="9"/>
    </row>
    <row r="55" spans="1:13" x14ac:dyDescent="0.25">
      <c r="A55" s="10"/>
      <c r="B55" s="31"/>
      <c r="C55" s="31"/>
      <c r="D55" s="53" t="s">
        <v>581</v>
      </c>
      <c r="E55" s="33"/>
      <c r="F55" s="2"/>
      <c r="G55" s="17" t="str">
        <f>IFERROR(VLOOKUP($D55,'Master Sheet'!$B:$AA,3,FALSE),"")</f>
        <v>DK-29  RUBBER EYECUP (Z6 &amp; Z7)</v>
      </c>
      <c r="H55" s="2"/>
      <c r="I55" s="2" t="str">
        <f>IFERROR(VLOOKUP($D55,'Master Sheet'!$B:$AA,2,FALSE),"")</f>
        <v>VOW00201</v>
      </c>
      <c r="J55" s="34" t="str">
        <f>IFERROR(VLOOKUP($D55,'Master Sheet'!$B:$AA,5,FALSE),"")</f>
        <v>018208042210</v>
      </c>
      <c r="K55" s="35">
        <f>IFERROR(VLOOKUP($D55,'Master Sheet'!$B:$AA,8,FALSE),"")</f>
        <v>134.95499999999998</v>
      </c>
      <c r="M55" s="9"/>
    </row>
    <row r="56" spans="1:13" ht="13.5" thickBot="1" x14ac:dyDescent="0.3">
      <c r="A56" s="10"/>
      <c r="B56" s="31"/>
      <c r="C56" s="31"/>
      <c r="D56" s="53"/>
      <c r="E56" s="33"/>
      <c r="F56" s="2"/>
      <c r="G56" s="17" t="str">
        <f>IFERROR(VLOOKUP($D56,'Master Sheet'!$B:$AA,3,FALSE),"")</f>
        <v/>
      </c>
      <c r="H56" s="2"/>
      <c r="I56" s="2" t="str">
        <f>IFERROR(VLOOKUP($D56,'Master Sheet'!$B:$AA,2,FALSE),"")</f>
        <v/>
      </c>
      <c r="J56" s="34" t="str">
        <f>IFERROR(VLOOKUP($D56,'Master Sheet'!$B:$AA,5,FALSE),"")</f>
        <v/>
      </c>
      <c r="K56" s="35" t="str">
        <f>IFERROR(VLOOKUP($D56,'Master Sheet'!$B:$AA,8,FALSE),"")</f>
        <v/>
      </c>
      <c r="M56" s="9"/>
    </row>
    <row r="57" spans="1:13" ht="13.5" thickBot="1" x14ac:dyDescent="0.3">
      <c r="A57" s="10"/>
      <c r="B57" s="31"/>
      <c r="C57" s="46" t="s">
        <v>30</v>
      </c>
      <c r="D57" s="49"/>
      <c r="E57" s="48"/>
      <c r="F57" s="47"/>
      <c r="G57" s="49"/>
      <c r="H57" s="47"/>
      <c r="I57" s="47"/>
      <c r="J57" s="61"/>
      <c r="K57" s="62"/>
      <c r="M57" s="9"/>
    </row>
    <row r="58" spans="1:13" x14ac:dyDescent="0.25">
      <c r="A58" s="10"/>
      <c r="B58" s="31"/>
      <c r="C58" s="31"/>
      <c r="D58" s="53" t="s">
        <v>269</v>
      </c>
      <c r="E58" s="33"/>
      <c r="F58" s="2"/>
      <c r="G58" s="17" t="str">
        <f>IFERROR(VLOOKUP($D58,'Master Sheet'!$B:$AA,3,FALSE),"")</f>
        <v>USB Cable UC-E24</v>
      </c>
      <c r="H58" s="2"/>
      <c r="I58" s="2" t="str">
        <f>IFERROR(VLOOKUP($D58,'Master Sheet'!$B:$AA,2,FALSE),"")</f>
        <v>VDU10701</v>
      </c>
      <c r="J58" s="34" t="str">
        <f>IFERROR(VLOOKUP($D58,'Master Sheet'!$B:$AA,5,FALSE),"")</f>
        <v>018208042166</v>
      </c>
      <c r="K58" s="35">
        <f>IFERROR(VLOOKUP($D58,'Master Sheet'!$B:$AA,8,FALSE),"")</f>
        <v>512.95500000000004</v>
      </c>
      <c r="M58" s="9"/>
    </row>
    <row r="59" spans="1:13" x14ac:dyDescent="0.25">
      <c r="A59" s="10"/>
      <c r="B59" s="31"/>
      <c r="C59" s="31"/>
      <c r="D59" s="53" t="s">
        <v>270</v>
      </c>
      <c r="E59" s="33"/>
      <c r="F59" s="2"/>
      <c r="G59" s="17" t="str">
        <f>IFERROR(VLOOKUP($D59,'Master Sheet'!$B:$AA,3,FALSE),"")</f>
        <v>USB Cable UC-E25</v>
      </c>
      <c r="H59" s="2"/>
      <c r="I59" s="2" t="str">
        <f>IFERROR(VLOOKUP($D59,'Master Sheet'!$B:$AA,2,FALSE),"")</f>
        <v>VDU10801</v>
      </c>
      <c r="J59" s="34" t="str">
        <f>IFERROR(VLOOKUP($D59,'Master Sheet'!$B:$AA,5,FALSE),"")</f>
        <v>018208042234</v>
      </c>
      <c r="K59" s="35">
        <f>IFERROR(VLOOKUP($D59,'Master Sheet'!$B:$AA,8,FALSE),"")</f>
        <v>575.95500000000004</v>
      </c>
      <c r="M59" s="9"/>
    </row>
    <row r="60" spans="1:13" ht="13.5" thickBot="1" x14ac:dyDescent="0.3">
      <c r="A60" s="10"/>
      <c r="B60" s="31"/>
      <c r="C60" s="31"/>
      <c r="D60" s="53"/>
      <c r="E60" s="33"/>
      <c r="F60" s="2"/>
      <c r="G60" s="17" t="str">
        <f>IFERROR(VLOOKUP($D60,'Master Sheet'!$B:$AA,3,FALSE),"")</f>
        <v/>
      </c>
      <c r="H60" s="2"/>
      <c r="I60" s="2" t="str">
        <f>IFERROR(VLOOKUP($D60,'Master Sheet'!$B:$AA,2,FALSE),"")</f>
        <v/>
      </c>
      <c r="J60" s="34" t="str">
        <f>IFERROR(VLOOKUP($D60,'Master Sheet'!$B:$AA,5,FALSE),"")</f>
        <v/>
      </c>
      <c r="K60" s="35" t="str">
        <f>IFERROR(VLOOKUP($D60,'Master Sheet'!$B:$AA,8,FALSE),"")</f>
        <v/>
      </c>
      <c r="M60" s="9"/>
    </row>
    <row r="61" spans="1:13" ht="13.5" thickBot="1" x14ac:dyDescent="0.3">
      <c r="A61" s="10"/>
      <c r="B61" s="31"/>
      <c r="C61" s="46" t="s">
        <v>786</v>
      </c>
      <c r="D61" s="49"/>
      <c r="E61" s="48"/>
      <c r="F61" s="47"/>
      <c r="G61" s="49"/>
      <c r="H61" s="47"/>
      <c r="I61" s="47"/>
      <c r="J61" s="61"/>
      <c r="K61" s="62"/>
      <c r="M61" s="9"/>
    </row>
    <row r="62" spans="1:13" ht="25.5" x14ac:dyDescent="0.25">
      <c r="A62" s="10"/>
      <c r="B62" s="31"/>
      <c r="C62" s="31"/>
      <c r="D62" s="53" t="s">
        <v>783</v>
      </c>
      <c r="E62" s="33"/>
      <c r="F62" s="2"/>
      <c r="G62" s="17" t="str">
        <f>IFERROR(VLOOKUP($D62,'Master Sheet'!$B:$AA,3,FALSE),"")</f>
        <v>Nikon Shoulder Bag Black 0301-2204I - Black NIKON logo</v>
      </c>
      <c r="H62" s="2"/>
      <c r="I62" s="2">
        <f>IFERROR(VLOOKUP($D62,'Master Sheet'!$B:$AA,2,FALSE),"")</f>
        <v>0</v>
      </c>
      <c r="J62" s="34" t="str">
        <f>IFERROR(VLOOKUP($D62,'Master Sheet'!$B:$AA,5,FALSE),"")</f>
        <v>No Barcode</v>
      </c>
      <c r="K62" s="35">
        <f>IFERROR(VLOOKUP($D62,'Master Sheet'!$B:$AA,8,FALSE),"")</f>
        <v>296.95499999999998</v>
      </c>
      <c r="M62" s="9"/>
    </row>
    <row r="63" spans="1:13" x14ac:dyDescent="0.25">
      <c r="A63" s="10"/>
      <c r="B63" s="31"/>
      <c r="C63" s="31"/>
      <c r="D63" s="53"/>
      <c r="E63" s="33"/>
      <c r="F63" s="2"/>
      <c r="G63" s="17" t="str">
        <f>IFERROR(VLOOKUP($D63,'Master Sheet'!$B:$AA,3,FALSE),"")</f>
        <v/>
      </c>
      <c r="H63" s="2"/>
      <c r="I63" s="2" t="str">
        <f>IFERROR(VLOOKUP($D63,'Master Sheet'!$B:$AA,2,FALSE),"")</f>
        <v/>
      </c>
      <c r="J63" s="34" t="str">
        <f>IFERROR(VLOOKUP($D63,'Master Sheet'!$B:$AA,5,FALSE),"")</f>
        <v/>
      </c>
      <c r="K63" s="35" t="str">
        <f>IFERROR(VLOOKUP($D63,'Master Sheet'!$B:$AA,8,FALSE),"")</f>
        <v/>
      </c>
      <c r="M63" s="9"/>
    </row>
    <row r="64" spans="1:13" x14ac:dyDescent="0.25">
      <c r="A64" s="10"/>
      <c r="B64" s="33"/>
      <c r="C64" s="31"/>
      <c r="D64" s="53"/>
      <c r="E64" s="33"/>
      <c r="F64" s="2"/>
      <c r="G64" s="17" t="str">
        <f>IFERROR(VLOOKUP($D64,'Master Sheet'!$B:$AA,3,FALSE),"")</f>
        <v/>
      </c>
      <c r="H64" s="2"/>
      <c r="I64" s="2" t="str">
        <f>IFERROR(VLOOKUP($D64,'Master Sheet'!$B:$AA,2,FALSE),"")</f>
        <v/>
      </c>
      <c r="J64" s="34" t="str">
        <f>IFERROR(VLOOKUP($D64,'Master Sheet'!$B:$AA,5,FALSE),"")</f>
        <v/>
      </c>
      <c r="K64" s="35" t="str">
        <f>IFERROR(VLOOKUP($D64,'Master Sheet'!$B:$AA,8,FALSE),"")</f>
        <v/>
      </c>
      <c r="M64" s="9"/>
    </row>
    <row r="65" spans="1:13" x14ac:dyDescent="0.25">
      <c r="A65" s="10"/>
      <c r="B65" s="10"/>
      <c r="C65" s="10"/>
      <c r="D65" s="16"/>
      <c r="E65" s="10"/>
      <c r="F65" s="10"/>
      <c r="G65" s="50"/>
      <c r="H65" s="6"/>
      <c r="I65" s="6"/>
      <c r="J65" s="51"/>
      <c r="K65" s="52"/>
      <c r="L65" s="9"/>
      <c r="M65" s="9"/>
    </row>
  </sheetData>
  <mergeCells count="5">
    <mergeCell ref="D11:D12"/>
    <mergeCell ref="D14:D15"/>
    <mergeCell ref="D17:D18"/>
    <mergeCell ref="G20:K20"/>
    <mergeCell ref="D20:D21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0FCF-D206-4679-8521-C004ECD13A71}">
  <sheetPr>
    <pageSetUpPr fitToPage="1"/>
  </sheetPr>
  <dimension ref="A1:M59"/>
  <sheetViews>
    <sheetView showGridLines="0" showRowColHeaders="0" topLeftCell="A10" zoomScale="85" zoomScaleNormal="85" workbookViewId="0">
      <selection activeCell="K22" sqref="K22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53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69" t="s">
        <v>0</v>
      </c>
      <c r="D3" s="70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6"/>
      <c r="D4" s="58" t="s">
        <v>1</v>
      </c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69" t="s">
        <v>2</v>
      </c>
      <c r="D5" s="70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6"/>
      <c r="D6" s="58" t="s">
        <v>654</v>
      </c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69" t="s">
        <v>3</v>
      </c>
      <c r="D7" s="14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6"/>
      <c r="D8" s="58" t="s">
        <v>818</v>
      </c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6"/>
      <c r="D9" s="58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69" t="s">
        <v>4</v>
      </c>
      <c r="D10" s="14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58"/>
      <c r="D11" s="93" t="s">
        <v>891</v>
      </c>
      <c r="E11" s="36"/>
      <c r="F11" s="8"/>
      <c r="G11" s="22"/>
      <c r="H11" s="8"/>
      <c r="J11" s="34"/>
      <c r="K11" s="35"/>
      <c r="M11" s="9"/>
    </row>
    <row r="12" spans="1:13" ht="25.9" customHeight="1" x14ac:dyDescent="0.25">
      <c r="A12" s="10"/>
      <c r="B12" s="31"/>
      <c r="C12" s="58"/>
      <c r="D12" s="93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69" t="s">
        <v>5</v>
      </c>
      <c r="D13" s="14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6"/>
      <c r="D14" s="93" t="s">
        <v>657</v>
      </c>
      <c r="E14" s="36"/>
      <c r="F14" s="8"/>
      <c r="G14" s="22"/>
      <c r="H14" s="8"/>
      <c r="J14" s="34"/>
      <c r="K14" s="35"/>
      <c r="M14" s="9"/>
    </row>
    <row r="15" spans="1:13" x14ac:dyDescent="0.25">
      <c r="A15" s="10"/>
      <c r="B15" s="31"/>
      <c r="C15" s="36"/>
      <c r="D15" s="93"/>
      <c r="E15" s="36"/>
      <c r="F15" s="8"/>
      <c r="G15" s="22"/>
      <c r="H15" s="8"/>
      <c r="J15" s="34"/>
      <c r="K15" s="35"/>
      <c r="M15" s="9"/>
    </row>
    <row r="16" spans="1:13" x14ac:dyDescent="0.25">
      <c r="A16" s="10"/>
      <c r="B16" s="31"/>
      <c r="C16" s="69" t="s">
        <v>6</v>
      </c>
      <c r="D16" s="14"/>
      <c r="E16" s="36"/>
      <c r="F16" s="8"/>
      <c r="G16" s="22"/>
      <c r="H16" s="8"/>
      <c r="J16" s="34"/>
      <c r="K16" s="35"/>
      <c r="M16" s="9"/>
    </row>
    <row r="17" spans="1:13" x14ac:dyDescent="0.25">
      <c r="A17" s="10"/>
      <c r="B17" s="31"/>
      <c r="C17" s="36"/>
      <c r="D17" s="93" t="s">
        <v>819</v>
      </c>
      <c r="E17" s="36"/>
      <c r="F17" s="8"/>
      <c r="G17" s="22"/>
      <c r="H17" s="8"/>
      <c r="J17" s="34"/>
      <c r="K17" s="35"/>
      <c r="M17" s="9"/>
    </row>
    <row r="18" spans="1:13" x14ac:dyDescent="0.25">
      <c r="A18" s="10"/>
      <c r="B18" s="31"/>
      <c r="C18" s="36"/>
      <c r="D18" s="93"/>
      <c r="E18" s="36"/>
      <c r="F18" s="8"/>
      <c r="G18" s="22"/>
      <c r="H18" s="8"/>
      <c r="J18" s="34"/>
      <c r="K18" s="35"/>
      <c r="M18" s="9"/>
    </row>
    <row r="19" spans="1:13" ht="13.5" thickBot="1" x14ac:dyDescent="0.3">
      <c r="A19" s="10"/>
      <c r="B19" s="31"/>
      <c r="C19" s="69" t="s">
        <v>7</v>
      </c>
      <c r="D19" s="14"/>
      <c r="E19" s="36"/>
      <c r="F19" s="8"/>
      <c r="G19" s="22"/>
      <c r="H19" s="8"/>
      <c r="J19" s="34"/>
      <c r="K19" s="35"/>
      <c r="M19" s="9"/>
    </row>
    <row r="20" spans="1:13" ht="13.5" thickBot="1" x14ac:dyDescent="0.3">
      <c r="A20" s="10"/>
      <c r="B20" s="31"/>
      <c r="C20" s="36"/>
      <c r="D20" s="94" t="s">
        <v>797</v>
      </c>
      <c r="E20" s="36"/>
      <c r="F20" s="8"/>
      <c r="G20" s="90" t="s">
        <v>817</v>
      </c>
      <c r="H20" s="91"/>
      <c r="I20" s="91"/>
      <c r="J20" s="91"/>
      <c r="K20" s="92"/>
      <c r="M20" s="9"/>
    </row>
    <row r="21" spans="1:13" ht="13.5" thickBot="1" x14ac:dyDescent="0.3">
      <c r="A21" s="10"/>
      <c r="B21" s="31"/>
      <c r="C21" s="31"/>
      <c r="D21" s="95"/>
      <c r="E21" s="36"/>
      <c r="F21" s="8"/>
      <c r="G21" s="22"/>
      <c r="H21" s="8"/>
      <c r="J21" s="34"/>
      <c r="K21" s="35"/>
      <c r="M21" s="9"/>
    </row>
    <row r="22" spans="1:13" ht="13.5" thickBot="1" x14ac:dyDescent="0.3">
      <c r="A22" s="10"/>
      <c r="B22" s="31"/>
      <c r="C22" s="39" t="s">
        <v>48</v>
      </c>
      <c r="D22" s="60"/>
      <c r="E22" s="40"/>
      <c r="F22" s="55"/>
      <c r="G22" s="41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3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3" x14ac:dyDescent="0.25">
      <c r="A24" s="10"/>
      <c r="B24" s="31"/>
      <c r="C24" s="31"/>
      <c r="D24" s="53" t="s">
        <v>811</v>
      </c>
      <c r="E24" s="33"/>
      <c r="F24" s="2"/>
      <c r="G24" s="17" t="str">
        <f>IFERROR(VLOOKUP($D24,'Master Sheet'!$B:$AA,3,FALSE),"")</f>
        <v>Nikon Z f Mirrorless Digital Camera (Body Only)</v>
      </c>
      <c r="H24" s="2"/>
      <c r="I24" s="2" t="str">
        <f>IFERROR(VLOOKUP($D24,'Master Sheet'!$B:$AA,2,FALSE),"")</f>
        <v>VOA120AM</v>
      </c>
      <c r="J24" s="34" t="str">
        <f>IFERROR(VLOOKUP($D24,'Master Sheet'!$B:$AA,5,FALSE),"")</f>
        <v>4960759913807</v>
      </c>
      <c r="K24" s="35">
        <f>IFERROR(VLOOKUP($D24,'Master Sheet'!$B:$AA,8,FALSE),"")</f>
        <v>41480.955000000002</v>
      </c>
      <c r="M24" s="9"/>
    </row>
    <row r="25" spans="1:13" ht="25.5" x14ac:dyDescent="0.25">
      <c r="A25" s="10"/>
      <c r="B25" s="31"/>
      <c r="C25" s="31"/>
      <c r="D25" s="53" t="s">
        <v>812</v>
      </c>
      <c r="E25" s="33"/>
      <c r="F25" s="2"/>
      <c r="G25" s="17" t="str">
        <f>IFERROR(VLOOKUP($D25,'Master Sheet'!$B:$AA,3,FALSE),"")</f>
        <v>Nikon Z f Mirrorless Digital Camera (Body) + SmallRig L-Shape Grip 4262</v>
      </c>
      <c r="H25" s="2"/>
      <c r="I25" s="2">
        <f>IFERROR(VLOOKUP($D25,'Master Sheet'!$B:$AA,2,FALSE),"")</f>
        <v>0</v>
      </c>
      <c r="J25" s="34" t="str">
        <f>IFERROR(VLOOKUP($D25,'Master Sheet'!$B:$AA,5,FALSE),"")</f>
        <v>No Barcode</v>
      </c>
      <c r="K25" s="35">
        <f>IFERROR(VLOOKUP($D25,'Master Sheet'!$B:$AA,8,FALSE),"")</f>
        <v>41480.955000000002</v>
      </c>
      <c r="M25" s="9"/>
    </row>
    <row r="26" spans="1:13" ht="13.5" thickBot="1" x14ac:dyDescent="0.3">
      <c r="A26" s="10"/>
      <c r="B26" s="31"/>
      <c r="C26" s="31"/>
      <c r="D26" s="53"/>
      <c r="E26" s="33"/>
      <c r="F26" s="2"/>
      <c r="G26" s="17" t="str">
        <f>IFERROR(VLOOKUP($D26,'Master Sheet'!$B:$AA,3,FALSE),"")</f>
        <v/>
      </c>
      <c r="H26" s="2"/>
      <c r="I26" s="2" t="str">
        <f>IFERROR(VLOOKUP($D26,'Master Sheet'!$B:$AA,2,FALSE),"")</f>
        <v/>
      </c>
      <c r="J26" s="34" t="str">
        <f>IFERROR(VLOOKUP($D26,'Master Sheet'!$B:$AA,5,FALSE),"")</f>
        <v/>
      </c>
      <c r="K26" s="35" t="str">
        <f>IFERROR(VLOOKUP($D26,'Master Sheet'!$B:$AA,8,FALSE),"")</f>
        <v/>
      </c>
      <c r="M26" s="9"/>
    </row>
    <row r="27" spans="1:13" ht="13.5" thickBot="1" x14ac:dyDescent="0.3">
      <c r="A27" s="10"/>
      <c r="B27" s="31"/>
      <c r="C27" s="46" t="s">
        <v>31</v>
      </c>
      <c r="D27" s="49"/>
      <c r="E27" s="48"/>
      <c r="F27" s="47"/>
      <c r="G27" s="49"/>
      <c r="H27" s="47"/>
      <c r="I27" s="47"/>
      <c r="J27" s="61"/>
      <c r="K27" s="62"/>
      <c r="M27" s="9"/>
    </row>
    <row r="28" spans="1:13" x14ac:dyDescent="0.25">
      <c r="A28" s="10"/>
      <c r="B28" s="31"/>
      <c r="C28" s="31"/>
      <c r="D28" s="53" t="s">
        <v>435</v>
      </c>
      <c r="E28" s="33"/>
      <c r="F28" s="2"/>
      <c r="G28" s="17" t="str">
        <f>IFERROR(VLOOKUP($D28,'Master Sheet'!$B:$AA,3,FALSE),"")</f>
        <v>BF-N1 Body Cap (Z-Series)</v>
      </c>
      <c r="H28" s="2"/>
      <c r="I28" s="2" t="str">
        <f>IFERROR(VLOOKUP($D28,'Master Sheet'!$B:$AA,2,FALSE),"")</f>
        <v>VOD00101</v>
      </c>
      <c r="J28" s="34" t="str">
        <f>IFERROR(VLOOKUP($D28,'Master Sheet'!$B:$AA,5,FALSE),"")</f>
        <v>4960759901002</v>
      </c>
      <c r="K28" s="35">
        <f>IFERROR(VLOOKUP($D28,'Master Sheet'!$B:$AA,8,FALSE),"")</f>
        <v>116.955</v>
      </c>
      <c r="M28" s="9"/>
    </row>
    <row r="29" spans="1:13" ht="13.5" thickBot="1" x14ac:dyDescent="0.3">
      <c r="A29" s="10"/>
      <c r="B29" s="31"/>
      <c r="C29" s="31"/>
      <c r="D29" s="53"/>
      <c r="E29" s="33"/>
      <c r="F29" s="2"/>
      <c r="H29" s="2"/>
      <c r="J29" s="34"/>
      <c r="K29" s="35"/>
      <c r="M29" s="9"/>
    </row>
    <row r="30" spans="1:13" ht="13.5" thickBot="1" x14ac:dyDescent="0.3">
      <c r="A30" s="10"/>
      <c r="B30" s="31"/>
      <c r="C30" s="46" t="s">
        <v>641</v>
      </c>
      <c r="D30" s="49"/>
      <c r="E30" s="48"/>
      <c r="F30" s="47"/>
      <c r="G30" s="49"/>
      <c r="H30" s="47"/>
      <c r="I30" s="47"/>
      <c r="J30" s="61"/>
      <c r="K30" s="62"/>
      <c r="M30" s="9"/>
    </row>
    <row r="31" spans="1:13" x14ac:dyDescent="0.25">
      <c r="A31" s="10"/>
      <c r="B31" s="31"/>
      <c r="C31" s="31"/>
      <c r="D31" s="53" t="s">
        <v>481</v>
      </c>
      <c r="E31" s="33"/>
      <c r="F31" s="2"/>
      <c r="G31" s="17" t="str">
        <f>IFERROR(VLOOKUP($D31,'Master Sheet'!$B:$AA,3,FALSE),"")</f>
        <v>FTZ II Mount Adapter</v>
      </c>
      <c r="H31" s="2"/>
      <c r="I31" s="2" t="str">
        <f>IFERROR(VLOOKUP($D31,'Master Sheet'!$B:$AA,2,FALSE),"")</f>
        <v>JMA905DA</v>
      </c>
      <c r="J31" s="34" t="str">
        <f>IFERROR(VLOOKUP($D31,'Master Sheet'!$B:$AA,5,FALSE),"")</f>
        <v>018208042647</v>
      </c>
      <c r="K31" s="35">
        <f>IFERROR(VLOOKUP($D31,'Master Sheet'!$B:$AA,8,FALSE),"")</f>
        <v>4049.9549999999999</v>
      </c>
      <c r="M31" s="9"/>
    </row>
    <row r="32" spans="1:13" ht="13.5" thickBot="1" x14ac:dyDescent="0.3">
      <c r="A32" s="10"/>
      <c r="B32" s="31"/>
      <c r="C32" s="31"/>
      <c r="D32" s="53"/>
      <c r="E32" s="33"/>
      <c r="F32" s="2"/>
      <c r="G32" s="17" t="str">
        <f>IFERROR(VLOOKUP($D32,'Master Sheet'!$B:$AA,3,FALSE),"")</f>
        <v/>
      </c>
      <c r="H32" s="2"/>
      <c r="I32" s="2" t="str">
        <f>IFERROR(VLOOKUP($D32,'Master Sheet'!$B:$AA,2,FALSE),"")</f>
        <v/>
      </c>
      <c r="J32" s="34" t="str">
        <f>IFERROR(VLOOKUP($D32,'Master Sheet'!$B:$AA,5,FALSE),"")</f>
        <v/>
      </c>
      <c r="K32" s="35" t="str">
        <f>IFERROR(VLOOKUP($D32,'Master Sheet'!$B:$AA,8,FALSE),"")</f>
        <v/>
      </c>
      <c r="M32" s="9"/>
    </row>
    <row r="33" spans="1:13" ht="13.5" thickBot="1" x14ac:dyDescent="0.3">
      <c r="A33" s="10"/>
      <c r="B33" s="31"/>
      <c r="C33" s="46" t="s">
        <v>8</v>
      </c>
      <c r="D33" s="49"/>
      <c r="E33" s="48"/>
      <c r="F33" s="47"/>
      <c r="G33" s="49"/>
      <c r="H33" s="47"/>
      <c r="I33" s="47"/>
      <c r="J33" s="61"/>
      <c r="K33" s="62"/>
      <c r="M33" s="9"/>
    </row>
    <row r="34" spans="1:13" x14ac:dyDescent="0.25">
      <c r="A34" s="10"/>
      <c r="B34" s="31"/>
      <c r="C34" s="31"/>
      <c r="D34" s="53"/>
      <c r="E34" s="33"/>
      <c r="F34" s="2"/>
      <c r="G34" s="17" t="s">
        <v>649</v>
      </c>
      <c r="H34" s="2"/>
      <c r="I34" s="2" t="str">
        <f>IFERROR(VLOOKUP($D34,'Master Sheet'!$B:$AA,2,FALSE),"")</f>
        <v/>
      </c>
      <c r="J34" s="34" t="str">
        <f>IFERROR(VLOOKUP($D34,'Master Sheet'!$B:$AA,5,FALSE),"")</f>
        <v/>
      </c>
      <c r="K34" s="35" t="str">
        <f>IFERROR(VLOOKUP($D34,'Master Sheet'!$B:$AA,8,FALSE),"")</f>
        <v/>
      </c>
      <c r="M34" s="9"/>
    </row>
    <row r="35" spans="1:13" ht="13.5" thickBot="1" x14ac:dyDescent="0.3">
      <c r="A35" s="10"/>
      <c r="B35" s="31"/>
      <c r="C35" s="31"/>
      <c r="D35" s="53"/>
      <c r="E35" s="33"/>
      <c r="F35" s="2"/>
      <c r="G35" s="17" t="str">
        <f>IFERROR(VLOOKUP($D35,'Master Sheet'!$B:$AA,3,FALSE),"")</f>
        <v/>
      </c>
      <c r="H35" s="2"/>
      <c r="I35" s="2" t="str">
        <f>IFERROR(VLOOKUP($D35,'Master Sheet'!$B:$AA,2,FALSE),"")</f>
        <v/>
      </c>
      <c r="J35" s="34" t="str">
        <f>IFERROR(VLOOKUP($D35,'Master Sheet'!$B:$AA,5,FALSE),"")</f>
        <v/>
      </c>
      <c r="K35" s="35" t="str">
        <f>IFERROR(VLOOKUP($D35,'Master Sheet'!$B:$AA,8,FALSE),"")</f>
        <v/>
      </c>
      <c r="M35" s="9"/>
    </row>
    <row r="36" spans="1:13" ht="13.5" thickBot="1" x14ac:dyDescent="0.3">
      <c r="A36" s="10"/>
      <c r="B36" s="31"/>
      <c r="C36" s="46" t="s">
        <v>9</v>
      </c>
      <c r="D36" s="49"/>
      <c r="E36" s="48"/>
      <c r="F36" s="47"/>
      <c r="G36" s="49"/>
      <c r="H36" s="47"/>
      <c r="I36" s="47"/>
      <c r="J36" s="61"/>
      <c r="K36" s="62"/>
      <c r="M36" s="9"/>
    </row>
    <row r="37" spans="1:13" x14ac:dyDescent="0.25">
      <c r="A37" s="10"/>
      <c r="B37" s="31"/>
      <c r="C37" s="31"/>
      <c r="D37" s="53"/>
      <c r="E37" s="33"/>
      <c r="F37" s="2"/>
      <c r="G37" s="17" t="s">
        <v>650</v>
      </c>
      <c r="H37" s="2"/>
      <c r="I37" s="2" t="str">
        <f>IFERROR(VLOOKUP($D37,'Master Sheet'!$B:$AA,2,FALSE),"")</f>
        <v/>
      </c>
      <c r="J37" s="34" t="str">
        <f>IFERROR(VLOOKUP($D37,'Master Sheet'!$B:$AA,5,FALSE),"")</f>
        <v/>
      </c>
      <c r="K37" s="35" t="str">
        <f>IFERROR(VLOOKUP($D37,'Master Sheet'!$B:$AA,8,FALSE),"")</f>
        <v/>
      </c>
      <c r="M37" s="9"/>
    </row>
    <row r="38" spans="1:13" ht="13.5" thickBot="1" x14ac:dyDescent="0.3">
      <c r="A38" s="10"/>
      <c r="B38" s="31"/>
      <c r="C38" s="31"/>
      <c r="D38" s="53"/>
      <c r="E38" s="33"/>
      <c r="F38" s="2"/>
      <c r="G38" s="17" t="str">
        <f>IFERROR(VLOOKUP($D38,'Master Sheet'!$B:$AA,3,FALSE),"")</f>
        <v/>
      </c>
      <c r="H38" s="2"/>
      <c r="I38" s="2" t="str">
        <f>IFERROR(VLOOKUP($D38,'Master Sheet'!$B:$AA,2,FALSE),"")</f>
        <v/>
      </c>
      <c r="J38" s="34" t="str">
        <f>IFERROR(VLOOKUP($D38,'Master Sheet'!$B:$AA,5,FALSE),"")</f>
        <v/>
      </c>
      <c r="K38" s="35" t="str">
        <f>IFERROR(VLOOKUP($D38,'Master Sheet'!$B:$AA,8,FALSE),"")</f>
        <v/>
      </c>
      <c r="M38" s="9"/>
    </row>
    <row r="39" spans="1:13" ht="13.5" thickBot="1" x14ac:dyDescent="0.3">
      <c r="A39" s="10"/>
      <c r="B39" s="31"/>
      <c r="C39" s="46" t="s">
        <v>23</v>
      </c>
      <c r="D39" s="49"/>
      <c r="E39" s="48"/>
      <c r="F39" s="47"/>
      <c r="G39" s="49"/>
      <c r="H39" s="47"/>
      <c r="I39" s="47"/>
      <c r="J39" s="61"/>
      <c r="K39" s="62"/>
      <c r="M39" s="9"/>
    </row>
    <row r="40" spans="1:13" x14ac:dyDescent="0.25">
      <c r="A40" s="10"/>
      <c r="B40" s="31"/>
      <c r="C40" s="31"/>
      <c r="D40" s="53" t="s">
        <v>24</v>
      </c>
      <c r="E40" s="33"/>
      <c r="F40" s="2"/>
      <c r="G40" s="17" t="str">
        <f>IFERROR(VLOOKUP($D40,'Master Sheet'!$B:$AA,3,FALSE),"")</f>
        <v>MH-25A BATTERY CHARGER - EN-EL15 Battery</v>
      </c>
      <c r="H40" s="2"/>
      <c r="I40" s="2" t="str">
        <f>IFERROR(VLOOKUP($D40,'Master Sheet'!$B:$AA,2,FALSE),"")</f>
        <v>VEA016EA</v>
      </c>
      <c r="J40" s="34" t="str">
        <f>IFERROR(VLOOKUP($D40,'Master Sheet'!$B:$AA,5,FALSE),"")</f>
        <v>018208941704</v>
      </c>
      <c r="K40" s="35">
        <f>IFERROR(VLOOKUP($D40,'Master Sheet'!$B:$AA,8,FALSE),"")</f>
        <v>1106.9550000000002</v>
      </c>
      <c r="M40" s="9"/>
    </row>
    <row r="41" spans="1:13" x14ac:dyDescent="0.25">
      <c r="A41" s="10"/>
      <c r="B41" s="31"/>
      <c r="C41" s="31"/>
      <c r="D41" s="53" t="s">
        <v>367</v>
      </c>
      <c r="E41" s="33"/>
      <c r="F41" s="2"/>
      <c r="G41" s="17" t="str">
        <f>IFERROR(VLOOKUP($D41,'Master Sheet'!$B:$AA,3,FALSE),"")</f>
        <v>EN-EL15C RECHARGEABLE LI-ION BATTERY</v>
      </c>
      <c r="H41" s="2"/>
      <c r="I41" s="2" t="str">
        <f>IFERROR(VLOOKUP($D41,'Master Sheet'!$B:$AA,2,FALSE),"")</f>
        <v>VFB12802</v>
      </c>
      <c r="J41" s="34" t="str">
        <f>IFERROR(VLOOKUP($D41,'Master Sheet'!$B:$AA,5,FALSE),"")</f>
        <v>4960759904393</v>
      </c>
      <c r="K41" s="35">
        <f>IFERROR(VLOOKUP($D41,'Master Sheet'!$B:$AA,8,FALSE),"")</f>
        <v>1439.9550000000002</v>
      </c>
      <c r="M41" s="9"/>
    </row>
    <row r="42" spans="1:13" x14ac:dyDescent="0.25">
      <c r="A42" s="10"/>
      <c r="B42" s="31"/>
      <c r="C42" s="31"/>
      <c r="D42" s="53" t="s">
        <v>690</v>
      </c>
      <c r="E42" s="33"/>
      <c r="F42" s="2"/>
      <c r="G42" s="17" t="str">
        <f>IFERROR(VLOOKUP($D42,'Master Sheet'!$B:$AA,3,FALSE),"")</f>
        <v>Charging AC Adapter EH-7P</v>
      </c>
      <c r="H42" s="2"/>
      <c r="I42" s="2" t="str">
        <f>IFERROR(VLOOKUP($D42,'Master Sheet'!$B:$AA,2,FALSE),"")</f>
        <v>VEB029BA</v>
      </c>
      <c r="J42" s="34" t="str">
        <f>IFERROR(VLOOKUP($D42,'Master Sheet'!$B:$AA,5,FALSE),"")</f>
        <v>4960759901958</v>
      </c>
      <c r="K42" s="35">
        <f>IFERROR(VLOOKUP($D42,'Master Sheet'!$B:$AA,8,FALSE),"")</f>
        <v>917.95500000000004</v>
      </c>
      <c r="M42" s="9"/>
    </row>
    <row r="43" spans="1:13" ht="13.5" thickBot="1" x14ac:dyDescent="0.3">
      <c r="A43" s="10"/>
      <c r="B43" s="31"/>
      <c r="C43" s="31"/>
      <c r="D43" s="53"/>
      <c r="E43" s="33"/>
      <c r="F43" s="2"/>
      <c r="G43" s="17" t="str">
        <f>IFERROR(VLOOKUP($D43,'Master Sheet'!$B:$AA,3,FALSE),"")</f>
        <v/>
      </c>
      <c r="H43" s="2"/>
      <c r="I43" s="2" t="str">
        <f>IFERROR(VLOOKUP($D43,'Master Sheet'!$B:$AA,2,FALSE),"")</f>
        <v/>
      </c>
      <c r="J43" s="34" t="str">
        <f>IFERROR(VLOOKUP($D43,'Master Sheet'!$B:$AA,5,FALSE),"")</f>
        <v/>
      </c>
      <c r="K43" s="35" t="str">
        <f>IFERROR(VLOOKUP($D43,'Master Sheet'!$B:$AA,8,FALSE),"")</f>
        <v/>
      </c>
      <c r="M43" s="9"/>
    </row>
    <row r="44" spans="1:13" ht="13.5" thickBot="1" x14ac:dyDescent="0.3">
      <c r="A44" s="10"/>
      <c r="B44" s="31"/>
      <c r="C44" s="46" t="s">
        <v>29</v>
      </c>
      <c r="D44" s="49"/>
      <c r="E44" s="48"/>
      <c r="F44" s="47"/>
      <c r="G44" s="49"/>
      <c r="H44" s="47"/>
      <c r="I44" s="47"/>
      <c r="J44" s="61"/>
      <c r="K44" s="62"/>
      <c r="M44" s="9"/>
    </row>
    <row r="45" spans="1:13" x14ac:dyDescent="0.25">
      <c r="A45" s="10"/>
      <c r="B45" s="31"/>
      <c r="C45" s="31"/>
      <c r="D45" s="53" t="s">
        <v>86</v>
      </c>
      <c r="E45" s="33"/>
      <c r="F45" s="2"/>
      <c r="G45" s="17" t="str">
        <f>IFERROR(VLOOKUP($D45,'Master Sheet'!$B:$AA,3,FALSE),"")</f>
        <v>ML-L7 REMOTE CONTROL</v>
      </c>
      <c r="H45" s="2"/>
      <c r="I45" s="2" t="str">
        <f>IFERROR(VLOOKUP($D45,'Master Sheet'!$B:$AA,2,FALSE),"")</f>
        <v>VAJ57201</v>
      </c>
      <c r="J45" s="34" t="str">
        <f>IFERROR(VLOOKUP($D45,'Master Sheet'!$B:$AA,5,FALSE),"")</f>
        <v>018208259526</v>
      </c>
      <c r="K45" s="35">
        <f>IFERROR(VLOOKUP($D45,'Master Sheet'!$B:$AA,8,FALSE),"")</f>
        <v>800.95500000000004</v>
      </c>
      <c r="M45" s="9"/>
    </row>
    <row r="46" spans="1:13" x14ac:dyDescent="0.25">
      <c r="A46" s="10"/>
      <c r="B46" s="31"/>
      <c r="C46" s="31"/>
      <c r="D46" s="53" t="s">
        <v>619</v>
      </c>
      <c r="E46" s="33"/>
      <c r="F46" s="2"/>
      <c r="G46" s="17" t="str">
        <f>IFERROR(VLOOKUP($D46,'Master Sheet'!$B:$AA,3,FALSE),"")</f>
        <v>Nikon MC-N10 Remote Grip</v>
      </c>
      <c r="H46" s="2"/>
      <c r="I46" s="2" t="str">
        <f>IFERROR(VLOOKUP($D46,'Master Sheet'!$B:$AA,2,FALSE),"")</f>
        <v>VDR009AA</v>
      </c>
      <c r="J46" s="34" t="str">
        <f>IFERROR(VLOOKUP($D46,'Master Sheet'!$B:$AA,5,FALSE),"")</f>
        <v>018208272303</v>
      </c>
      <c r="K46" s="35">
        <f>IFERROR(VLOOKUP($D46,'Master Sheet'!$B:$AA,8,FALSE),"")</f>
        <v>9629.9550000000017</v>
      </c>
      <c r="M46" s="9"/>
    </row>
    <row r="47" spans="1:13" ht="13.5" thickBot="1" x14ac:dyDescent="0.3">
      <c r="A47" s="10"/>
      <c r="B47" s="31"/>
      <c r="C47" s="31"/>
      <c r="D47" s="53"/>
      <c r="E47" s="33"/>
      <c r="F47" s="2"/>
      <c r="H47" s="2"/>
      <c r="J47" s="34"/>
      <c r="K47" s="35"/>
      <c r="M47" s="9"/>
    </row>
    <row r="48" spans="1:13" ht="13.5" thickBot="1" x14ac:dyDescent="0.3">
      <c r="A48" s="10"/>
      <c r="B48" s="31"/>
      <c r="C48" s="46" t="s">
        <v>640</v>
      </c>
      <c r="D48" s="49"/>
      <c r="E48" s="48"/>
      <c r="F48" s="47"/>
      <c r="G48" s="49"/>
      <c r="H48" s="47"/>
      <c r="I48" s="47"/>
      <c r="J48" s="61"/>
      <c r="K48" s="62"/>
      <c r="M48" s="9"/>
    </row>
    <row r="49" spans="1:13" x14ac:dyDescent="0.25">
      <c r="A49" s="10"/>
      <c r="B49" s="31"/>
      <c r="C49" s="31"/>
      <c r="D49" s="53" t="s">
        <v>580</v>
      </c>
      <c r="E49" s="33"/>
      <c r="F49" s="2"/>
      <c r="G49" s="17" t="str">
        <f>IFERROR(VLOOKUP($D49,'Master Sheet'!$B:$AA,3,FALSE),"")</f>
        <v>DK-33 Rubber Eyecup</v>
      </c>
      <c r="H49" s="2"/>
      <c r="I49" s="2" t="str">
        <f>IFERROR(VLOOKUP($D49,'Master Sheet'!$B:$AA,2,FALSE),"")</f>
        <v>VOW00501</v>
      </c>
      <c r="J49" s="34" t="str">
        <f>IFERROR(VLOOKUP($D49,'Master Sheet'!$B:$AA,5,FALSE),"")</f>
        <v>018208272242</v>
      </c>
      <c r="K49" s="35">
        <f>IFERROR(VLOOKUP($D49,'Master Sheet'!$B:$AA,8,FALSE),"")</f>
        <v>152.95499999999998</v>
      </c>
      <c r="M49" s="9"/>
    </row>
    <row r="50" spans="1:13" ht="13.5" thickBot="1" x14ac:dyDescent="0.3">
      <c r="A50" s="10"/>
      <c r="B50" s="31"/>
      <c r="C50" s="31"/>
      <c r="D50" s="53"/>
      <c r="E50" s="33"/>
      <c r="F50" s="2"/>
      <c r="G50" s="17" t="str">
        <f>IFERROR(VLOOKUP($D50,'Master Sheet'!$B:$AA,3,FALSE),"")</f>
        <v/>
      </c>
      <c r="H50" s="2"/>
      <c r="I50" s="2" t="str">
        <f>IFERROR(VLOOKUP($D50,'Master Sheet'!$B:$AA,2,FALSE),"")</f>
        <v/>
      </c>
      <c r="J50" s="34" t="str">
        <f>IFERROR(VLOOKUP($D50,'Master Sheet'!$B:$AA,5,FALSE),"")</f>
        <v/>
      </c>
      <c r="K50" s="35" t="str">
        <f>IFERROR(VLOOKUP($D50,'Master Sheet'!$B:$AA,8,FALSE),"")</f>
        <v/>
      </c>
      <c r="M50" s="9"/>
    </row>
    <row r="51" spans="1:13" ht="13.5" thickBot="1" x14ac:dyDescent="0.3">
      <c r="A51" s="10"/>
      <c r="B51" s="31"/>
      <c r="C51" s="46" t="s">
        <v>30</v>
      </c>
      <c r="D51" s="49"/>
      <c r="E51" s="48"/>
      <c r="F51" s="47"/>
      <c r="G51" s="49"/>
      <c r="H51" s="47"/>
      <c r="I51" s="47"/>
      <c r="J51" s="61"/>
      <c r="K51" s="62"/>
      <c r="M51" s="9"/>
    </row>
    <row r="52" spans="1:13" x14ac:dyDescent="0.25">
      <c r="A52" s="10"/>
      <c r="B52" s="31"/>
      <c r="C52" s="31"/>
      <c r="D52" s="53" t="s">
        <v>269</v>
      </c>
      <c r="E52" s="33"/>
      <c r="F52" s="2"/>
      <c r="G52" s="17" t="str">
        <f>IFERROR(VLOOKUP($D52,'Master Sheet'!$B:$AA,3,FALSE),"")</f>
        <v>USB Cable UC-E24</v>
      </c>
      <c r="H52" s="2"/>
      <c r="I52" s="2" t="str">
        <f>IFERROR(VLOOKUP($D52,'Master Sheet'!$B:$AA,2,FALSE),"")</f>
        <v>VDU10701</v>
      </c>
      <c r="J52" s="34" t="str">
        <f>IFERROR(VLOOKUP($D52,'Master Sheet'!$B:$AA,5,FALSE),"")</f>
        <v>018208042166</v>
      </c>
      <c r="K52" s="35">
        <f>IFERROR(VLOOKUP($D52,'Master Sheet'!$B:$AA,8,FALSE),"")</f>
        <v>512.95500000000004</v>
      </c>
      <c r="M52" s="9"/>
    </row>
    <row r="53" spans="1:13" x14ac:dyDescent="0.25">
      <c r="A53" s="10"/>
      <c r="B53" s="31"/>
      <c r="C53" s="31"/>
      <c r="D53" s="53" t="s">
        <v>270</v>
      </c>
      <c r="E53" s="33"/>
      <c r="F53" s="2"/>
      <c r="G53" s="17" t="str">
        <f>IFERROR(VLOOKUP($D53,'Master Sheet'!$B:$AA,3,FALSE),"")</f>
        <v>USB Cable UC-E25</v>
      </c>
      <c r="H53" s="2"/>
      <c r="I53" s="2" t="str">
        <f>IFERROR(VLOOKUP($D53,'Master Sheet'!$B:$AA,2,FALSE),"")</f>
        <v>VDU10801</v>
      </c>
      <c r="J53" s="34" t="str">
        <f>IFERROR(VLOOKUP($D53,'Master Sheet'!$B:$AA,5,FALSE),"")</f>
        <v>018208042234</v>
      </c>
      <c r="K53" s="35">
        <f>IFERROR(VLOOKUP($D53,'Master Sheet'!$B:$AA,8,FALSE),"")</f>
        <v>575.95500000000004</v>
      </c>
      <c r="M53" s="9"/>
    </row>
    <row r="54" spans="1:13" ht="13.5" thickBot="1" x14ac:dyDescent="0.3">
      <c r="A54" s="10"/>
      <c r="B54" s="31"/>
      <c r="C54" s="31"/>
      <c r="D54" s="53"/>
      <c r="E54" s="33"/>
      <c r="F54" s="2"/>
      <c r="G54" s="17" t="str">
        <f>IFERROR(VLOOKUP($D54,'Master Sheet'!$B:$AA,3,FALSE),"")</f>
        <v/>
      </c>
      <c r="H54" s="2"/>
      <c r="I54" s="2" t="str">
        <f>IFERROR(VLOOKUP($D54,'Master Sheet'!$B:$AA,2,FALSE),"")</f>
        <v/>
      </c>
      <c r="J54" s="34" t="str">
        <f>IFERROR(VLOOKUP($D54,'Master Sheet'!$B:$AA,5,FALSE),"")</f>
        <v/>
      </c>
      <c r="K54" s="35" t="str">
        <f>IFERROR(VLOOKUP($D54,'Master Sheet'!$B:$AA,8,FALSE),"")</f>
        <v/>
      </c>
      <c r="M54" s="9"/>
    </row>
    <row r="55" spans="1:13" ht="13.5" thickBot="1" x14ac:dyDescent="0.3">
      <c r="A55" s="10"/>
      <c r="B55" s="31"/>
      <c r="C55" s="46" t="s">
        <v>786</v>
      </c>
      <c r="D55" s="49"/>
      <c r="E55" s="48"/>
      <c r="F55" s="47"/>
      <c r="G55" s="49"/>
      <c r="H55" s="47"/>
      <c r="I55" s="47"/>
      <c r="J55" s="61"/>
      <c r="K55" s="62"/>
      <c r="M55" s="9"/>
    </row>
    <row r="56" spans="1:13" ht="25.5" x14ac:dyDescent="0.25">
      <c r="A56" s="10"/>
      <c r="B56" s="31"/>
      <c r="C56" s="31"/>
      <c r="D56" s="53" t="s">
        <v>783</v>
      </c>
      <c r="E56" s="33"/>
      <c r="F56" s="2"/>
      <c r="G56" s="17" t="str">
        <f>IFERROR(VLOOKUP($D56,'Master Sheet'!$B:$AA,3,FALSE),"")</f>
        <v>Nikon Shoulder Bag Black 0301-2204I - Black NIKON logo</v>
      </c>
      <c r="H56" s="2"/>
      <c r="I56" s="2">
        <f>IFERROR(VLOOKUP($D56,'Master Sheet'!$B:$AA,2,FALSE),"")</f>
        <v>0</v>
      </c>
      <c r="J56" s="34" t="str">
        <f>IFERROR(VLOOKUP($D56,'Master Sheet'!$B:$AA,5,FALSE),"")</f>
        <v>No Barcode</v>
      </c>
      <c r="K56" s="35">
        <f>IFERROR(VLOOKUP($D56,'Master Sheet'!$B:$AA,8,FALSE),"")</f>
        <v>296.95499999999998</v>
      </c>
      <c r="M56" s="9"/>
    </row>
    <row r="57" spans="1:13" x14ac:dyDescent="0.25">
      <c r="A57" s="10"/>
      <c r="B57" s="31"/>
      <c r="C57" s="31"/>
      <c r="D57" s="53"/>
      <c r="E57" s="33"/>
      <c r="F57" s="2"/>
      <c r="G57" s="17" t="str">
        <f>IFERROR(VLOOKUP($D57,'Master Sheet'!$B:$AA,3,FALSE),"")</f>
        <v/>
      </c>
      <c r="H57" s="2"/>
      <c r="I57" s="2" t="str">
        <f>IFERROR(VLOOKUP($D57,'Master Sheet'!$B:$AA,2,FALSE),"")</f>
        <v/>
      </c>
      <c r="J57" s="34" t="str">
        <f>IFERROR(VLOOKUP($D57,'Master Sheet'!$B:$AA,5,FALSE),"")</f>
        <v/>
      </c>
      <c r="K57" s="35" t="str">
        <f>IFERROR(VLOOKUP($D57,'Master Sheet'!$B:$AA,8,FALSE),"")</f>
        <v/>
      </c>
      <c r="M57" s="9"/>
    </row>
    <row r="58" spans="1:13" x14ac:dyDescent="0.25">
      <c r="A58" s="10"/>
      <c r="B58" s="33"/>
      <c r="C58" s="31"/>
      <c r="D58" s="53"/>
      <c r="E58" s="33"/>
      <c r="F58" s="2"/>
      <c r="G58" s="17" t="str">
        <f>IFERROR(VLOOKUP($D58,'Master Sheet'!$B:$AA,3,FALSE),"")</f>
        <v/>
      </c>
      <c r="H58" s="2"/>
      <c r="I58" s="2" t="str">
        <f>IFERROR(VLOOKUP($D58,'Master Sheet'!$B:$AA,2,FALSE),"")</f>
        <v/>
      </c>
      <c r="J58" s="34" t="str">
        <f>IFERROR(VLOOKUP($D58,'Master Sheet'!$B:$AA,5,FALSE),"")</f>
        <v/>
      </c>
      <c r="K58" s="35" t="str">
        <f>IFERROR(VLOOKUP($D58,'Master Sheet'!$B:$AA,8,FALSE),"")</f>
        <v/>
      </c>
      <c r="M58" s="9"/>
    </row>
    <row r="59" spans="1:13" x14ac:dyDescent="0.25">
      <c r="A59" s="10"/>
      <c r="B59" s="10"/>
      <c r="C59" s="10"/>
      <c r="D59" s="16"/>
      <c r="E59" s="10"/>
      <c r="F59" s="10"/>
      <c r="G59" s="50"/>
      <c r="H59" s="6"/>
      <c r="I59" s="6"/>
      <c r="J59" s="51"/>
      <c r="K59" s="52"/>
      <c r="L59" s="9"/>
      <c r="M59" s="9"/>
    </row>
  </sheetData>
  <mergeCells count="5">
    <mergeCell ref="D11:D12"/>
    <mergeCell ref="D14:D15"/>
    <mergeCell ref="D17:D18"/>
    <mergeCell ref="D20:D21"/>
    <mergeCell ref="G20:K20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A773-E626-4278-BD83-A20A05113D00}">
  <sheetPr>
    <pageSetUpPr fitToPage="1"/>
  </sheetPr>
  <dimension ref="A1:M57"/>
  <sheetViews>
    <sheetView showGridLines="0" showRowColHeaders="0" topLeftCell="A14" zoomScale="85" zoomScaleNormal="85" workbookViewId="0">
      <selection activeCell="K22" sqref="K22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53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69" t="s">
        <v>0</v>
      </c>
      <c r="D3" s="70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6"/>
      <c r="D4" s="58" t="s">
        <v>45</v>
      </c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69" t="s">
        <v>2</v>
      </c>
      <c r="D5" s="14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6"/>
      <c r="D6" s="58" t="s">
        <v>655</v>
      </c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69" t="s">
        <v>3</v>
      </c>
      <c r="D7" s="14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6"/>
      <c r="D8" s="58" t="s">
        <v>58</v>
      </c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6"/>
      <c r="D9" s="58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69" t="s">
        <v>4</v>
      </c>
      <c r="D10" s="14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58"/>
      <c r="D11" s="93" t="s">
        <v>656</v>
      </c>
      <c r="E11" s="36"/>
      <c r="F11" s="8"/>
      <c r="G11" s="22"/>
      <c r="H11" s="8"/>
      <c r="J11" s="34"/>
      <c r="K11" s="35"/>
      <c r="M11" s="9"/>
    </row>
    <row r="12" spans="1:13" ht="25.9" customHeight="1" x14ac:dyDescent="0.25">
      <c r="A12" s="10"/>
      <c r="B12" s="31"/>
      <c r="C12" s="58"/>
      <c r="D12" s="93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69" t="s">
        <v>5</v>
      </c>
      <c r="D13" s="14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6"/>
      <c r="D14" s="93" t="s">
        <v>657</v>
      </c>
      <c r="E14" s="36"/>
      <c r="F14" s="8"/>
      <c r="G14" s="22"/>
      <c r="H14" s="8"/>
      <c r="J14" s="34"/>
      <c r="K14" s="35"/>
      <c r="M14" s="9"/>
    </row>
    <row r="15" spans="1:13" x14ac:dyDescent="0.25">
      <c r="A15" s="10"/>
      <c r="B15" s="31"/>
      <c r="C15" s="36"/>
      <c r="D15" s="93"/>
      <c r="E15" s="36"/>
      <c r="F15" s="8"/>
      <c r="G15" s="22"/>
      <c r="H15" s="8"/>
      <c r="J15" s="34"/>
      <c r="K15" s="35"/>
      <c r="M15" s="9"/>
    </row>
    <row r="16" spans="1:13" x14ac:dyDescent="0.25">
      <c r="A16" s="10"/>
      <c r="B16" s="31"/>
      <c r="C16" s="69" t="s">
        <v>6</v>
      </c>
      <c r="D16" s="14"/>
      <c r="E16" s="36"/>
      <c r="F16" s="8"/>
      <c r="G16" s="22"/>
      <c r="H16" s="8"/>
      <c r="J16" s="34"/>
      <c r="K16" s="35"/>
      <c r="M16" s="9"/>
    </row>
    <row r="17" spans="1:13" x14ac:dyDescent="0.25">
      <c r="A17" s="10"/>
      <c r="B17" s="31"/>
      <c r="C17" s="36"/>
      <c r="D17" s="93" t="s">
        <v>57</v>
      </c>
      <c r="E17" s="36"/>
      <c r="F17" s="8"/>
      <c r="G17" s="22"/>
      <c r="H17" s="8"/>
      <c r="J17" s="34"/>
      <c r="K17" s="35"/>
      <c r="M17" s="9"/>
    </row>
    <row r="18" spans="1:13" x14ac:dyDescent="0.25">
      <c r="A18" s="10"/>
      <c r="B18" s="31"/>
      <c r="C18" s="36"/>
      <c r="D18" s="93"/>
      <c r="E18" s="36"/>
      <c r="F18" s="8"/>
      <c r="G18" s="22"/>
      <c r="H18" s="8"/>
      <c r="J18" s="34"/>
      <c r="K18" s="35"/>
      <c r="M18" s="9"/>
    </row>
    <row r="19" spans="1:13" ht="13.5" thickBot="1" x14ac:dyDescent="0.3">
      <c r="A19" s="10"/>
      <c r="B19" s="31"/>
      <c r="C19" s="69" t="s">
        <v>7</v>
      </c>
      <c r="D19" s="14"/>
      <c r="E19" s="36"/>
      <c r="F19" s="8"/>
      <c r="G19" s="22"/>
      <c r="H19" s="8"/>
      <c r="J19" s="34"/>
      <c r="K19" s="35"/>
      <c r="M19" s="9"/>
    </row>
    <row r="20" spans="1:13" ht="13.5" thickBot="1" x14ac:dyDescent="0.3">
      <c r="A20" s="10"/>
      <c r="B20" s="31"/>
      <c r="C20" s="36"/>
      <c r="D20" s="94" t="s">
        <v>797</v>
      </c>
      <c r="E20" s="36"/>
      <c r="F20" s="8"/>
      <c r="G20" s="90" t="s">
        <v>672</v>
      </c>
      <c r="H20" s="91"/>
      <c r="I20" s="91"/>
      <c r="J20" s="91"/>
      <c r="K20" s="92"/>
      <c r="M20" s="9"/>
    </row>
    <row r="21" spans="1:13" ht="13.5" thickBot="1" x14ac:dyDescent="0.3">
      <c r="A21" s="10"/>
      <c r="B21" s="31"/>
      <c r="C21" s="31"/>
      <c r="D21" s="95"/>
      <c r="E21" s="36"/>
      <c r="F21" s="8"/>
      <c r="G21" s="22"/>
      <c r="H21" s="8"/>
      <c r="J21" s="34"/>
      <c r="K21" s="35"/>
      <c r="M21" s="9"/>
    </row>
    <row r="22" spans="1:13" ht="13.5" thickBot="1" x14ac:dyDescent="0.3">
      <c r="A22" s="10"/>
      <c r="B22" s="31"/>
      <c r="C22" s="39" t="s">
        <v>48</v>
      </c>
      <c r="D22" s="60"/>
      <c r="E22" s="40"/>
      <c r="F22" s="55"/>
      <c r="G22" s="41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3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3" x14ac:dyDescent="0.25">
      <c r="A24" s="10"/>
      <c r="B24" s="31"/>
      <c r="C24" s="31"/>
      <c r="D24" s="53" t="s">
        <v>457</v>
      </c>
      <c r="E24" s="33"/>
      <c r="F24" s="2"/>
      <c r="G24" s="17" t="str">
        <f>IFERROR(VLOOKUP($D24,'Master Sheet'!$B:$AA,3,FALSE),"")</f>
        <v>Nikon Z fc Mirrorless Digital Camera BODY</v>
      </c>
      <c r="H24" s="2"/>
      <c r="I24" s="2" t="str">
        <f>IFERROR(VLOOKUP($D24,'Master Sheet'!$B:$AA,2,FALSE),"")</f>
        <v>VOA090AM</v>
      </c>
      <c r="J24" s="34" t="str">
        <f>IFERROR(VLOOKUP($D24,'Master Sheet'!$B:$AA,5,FALSE),"")</f>
        <v>4960759906373</v>
      </c>
      <c r="K24" s="35">
        <f>IFERROR(VLOOKUP($D24,'Master Sheet'!$B:$AA,8,FALSE),"")</f>
        <v>17999.955000000002</v>
      </c>
      <c r="M24" s="9"/>
    </row>
    <row r="25" spans="1:13" ht="25.5" x14ac:dyDescent="0.25">
      <c r="A25" s="10"/>
      <c r="B25" s="31"/>
      <c r="C25" s="31"/>
      <c r="D25" s="53" t="s">
        <v>458</v>
      </c>
      <c r="E25" s="33"/>
      <c r="F25" s="2"/>
      <c r="G25" s="17" t="str">
        <f>IFERROR(VLOOKUP($D25,'Master Sheet'!$B:$AA,3,FALSE),"")</f>
        <v>Nikon Z fc Mirrorless Digital Camera  / 16-50MM SILVER</v>
      </c>
      <c r="H25" s="2"/>
      <c r="I25" s="2">
        <f>IFERROR(VLOOKUP($D25,'Master Sheet'!$B:$AA,2,FALSE),"")</f>
        <v>0</v>
      </c>
      <c r="J25" s="34" t="str">
        <f>IFERROR(VLOOKUP($D25,'Master Sheet'!$B:$AA,5,FALSE),"")</f>
        <v>6009658262482</v>
      </c>
      <c r="K25" s="35">
        <f>IFERROR(VLOOKUP($D25,'Master Sheet'!$B:$AA,8,FALSE),"")</f>
        <v>21131.955000000002</v>
      </c>
      <c r="M25" s="9"/>
    </row>
    <row r="26" spans="1:13" ht="13.5" thickBot="1" x14ac:dyDescent="0.3">
      <c r="A26" s="10"/>
      <c r="B26" s="31"/>
      <c r="C26" s="31"/>
      <c r="D26" s="53"/>
      <c r="E26" s="33"/>
      <c r="F26" s="2"/>
      <c r="G26" s="17" t="str">
        <f>IFERROR(VLOOKUP($D26,'Master Sheet'!$B:$AA,3,FALSE),"")</f>
        <v/>
      </c>
      <c r="H26" s="2"/>
      <c r="I26" s="2" t="str">
        <f>IFERROR(VLOOKUP($D26,'Master Sheet'!$B:$AA,2,FALSE),"")</f>
        <v/>
      </c>
      <c r="J26" s="34" t="str">
        <f>IFERROR(VLOOKUP($D26,'Master Sheet'!$B:$AA,5,FALSE),"")</f>
        <v/>
      </c>
      <c r="K26" s="35" t="str">
        <f>IFERROR(VLOOKUP($D26,'Master Sheet'!$B:$AA,8,FALSE),"")</f>
        <v/>
      </c>
      <c r="M26" s="9"/>
    </row>
    <row r="27" spans="1:13" ht="13.5" thickBot="1" x14ac:dyDescent="0.3">
      <c r="A27" s="10"/>
      <c r="B27" s="31"/>
      <c r="C27" s="46" t="s">
        <v>31</v>
      </c>
      <c r="D27" s="49"/>
      <c r="E27" s="48"/>
      <c r="F27" s="47"/>
      <c r="G27" s="49"/>
      <c r="H27" s="47"/>
      <c r="I27" s="47"/>
      <c r="J27" s="61"/>
      <c r="K27" s="62"/>
      <c r="M27" s="9"/>
    </row>
    <row r="28" spans="1:13" x14ac:dyDescent="0.25">
      <c r="A28" s="10"/>
      <c r="B28" s="31"/>
      <c r="C28" s="31"/>
      <c r="D28" s="53" t="s">
        <v>435</v>
      </c>
      <c r="E28" s="33"/>
      <c r="F28" s="2"/>
      <c r="G28" s="17" t="str">
        <f>IFERROR(VLOOKUP($D28,'Master Sheet'!$B:$AA,3,FALSE),"")</f>
        <v>BF-N1 Body Cap (Z-Series)</v>
      </c>
      <c r="H28" s="2"/>
      <c r="I28" s="2" t="str">
        <f>IFERROR(VLOOKUP($D28,'Master Sheet'!$B:$AA,2,FALSE),"")</f>
        <v>VOD00101</v>
      </c>
      <c r="J28" s="34" t="str">
        <f>IFERROR(VLOOKUP($D28,'Master Sheet'!$B:$AA,5,FALSE),"")</f>
        <v>4960759901002</v>
      </c>
      <c r="K28" s="35">
        <f>IFERROR(VLOOKUP($D28,'Master Sheet'!$B:$AA,8,FALSE),"")</f>
        <v>116.955</v>
      </c>
      <c r="M28" s="9"/>
    </row>
    <row r="29" spans="1:13" ht="13.5" thickBot="1" x14ac:dyDescent="0.3">
      <c r="A29" s="10"/>
      <c r="B29" s="31"/>
      <c r="C29" s="31"/>
      <c r="D29" s="53"/>
      <c r="E29" s="33"/>
      <c r="F29" s="2"/>
      <c r="H29" s="2"/>
      <c r="J29" s="34"/>
      <c r="K29" s="35"/>
      <c r="M29" s="9"/>
    </row>
    <row r="30" spans="1:13" ht="13.5" thickBot="1" x14ac:dyDescent="0.3">
      <c r="A30" s="10"/>
      <c r="B30" s="31"/>
      <c r="C30" s="46" t="s">
        <v>641</v>
      </c>
      <c r="D30" s="49"/>
      <c r="E30" s="48"/>
      <c r="F30" s="47"/>
      <c r="G30" s="49"/>
      <c r="H30" s="47"/>
      <c r="I30" s="47"/>
      <c r="J30" s="61"/>
      <c r="K30" s="62"/>
      <c r="M30" s="9"/>
    </row>
    <row r="31" spans="1:13" x14ac:dyDescent="0.25">
      <c r="A31" s="10"/>
      <c r="B31" s="31"/>
      <c r="C31" s="31"/>
      <c r="D31" s="53" t="s">
        <v>481</v>
      </c>
      <c r="E31" s="33"/>
      <c r="F31" s="2"/>
      <c r="G31" s="17" t="str">
        <f>IFERROR(VLOOKUP($D31,'Master Sheet'!$B:$AA,3,FALSE),"")</f>
        <v>FTZ II Mount Adapter</v>
      </c>
      <c r="H31" s="2"/>
      <c r="I31" s="2" t="str">
        <f>IFERROR(VLOOKUP($D31,'Master Sheet'!$B:$AA,2,FALSE),"")</f>
        <v>JMA905DA</v>
      </c>
      <c r="J31" s="34" t="str">
        <f>IFERROR(VLOOKUP($D31,'Master Sheet'!$B:$AA,5,FALSE),"")</f>
        <v>018208042647</v>
      </c>
      <c r="K31" s="35">
        <f>IFERROR(VLOOKUP($D31,'Master Sheet'!$B:$AA,8,FALSE),"")</f>
        <v>4049.9549999999999</v>
      </c>
      <c r="M31" s="9"/>
    </row>
    <row r="32" spans="1:13" ht="13.5" thickBot="1" x14ac:dyDescent="0.3">
      <c r="A32" s="10"/>
      <c r="B32" s="31"/>
      <c r="C32" s="31"/>
      <c r="D32" s="53"/>
      <c r="E32" s="33"/>
      <c r="F32" s="2"/>
      <c r="G32" s="17" t="str">
        <f>IFERROR(VLOOKUP($D32,'Master Sheet'!$B:$AA,3,FALSE),"")</f>
        <v/>
      </c>
      <c r="H32" s="2"/>
      <c r="I32" s="2" t="str">
        <f>IFERROR(VLOOKUP($D32,'Master Sheet'!$B:$AA,2,FALSE),"")</f>
        <v/>
      </c>
      <c r="J32" s="34" t="str">
        <f>IFERROR(VLOOKUP($D32,'Master Sheet'!$B:$AA,5,FALSE),"")</f>
        <v/>
      </c>
      <c r="K32" s="35" t="str">
        <f>IFERROR(VLOOKUP($D32,'Master Sheet'!$B:$AA,8,FALSE),"")</f>
        <v/>
      </c>
      <c r="M32" s="9"/>
    </row>
    <row r="33" spans="1:13" ht="13.5" thickBot="1" x14ac:dyDescent="0.3">
      <c r="A33" s="10"/>
      <c r="B33" s="31"/>
      <c r="C33" s="46" t="s">
        <v>8</v>
      </c>
      <c r="D33" s="49"/>
      <c r="E33" s="48"/>
      <c r="F33" s="47"/>
      <c r="G33" s="49"/>
      <c r="H33" s="47"/>
      <c r="I33" s="47"/>
      <c r="J33" s="61"/>
      <c r="K33" s="62"/>
      <c r="M33" s="9"/>
    </row>
    <row r="34" spans="1:13" x14ac:dyDescent="0.25">
      <c r="A34" s="10"/>
      <c r="B34" s="31"/>
      <c r="C34" s="31"/>
      <c r="D34" s="53"/>
      <c r="E34" s="33"/>
      <c r="F34" s="2"/>
      <c r="G34" s="17" t="s">
        <v>649</v>
      </c>
      <c r="H34" s="2"/>
      <c r="I34" s="2" t="str">
        <f>IFERROR(VLOOKUP($D34,'Master Sheet'!$B:$AA,2,FALSE),"")</f>
        <v/>
      </c>
      <c r="J34" s="34" t="str">
        <f>IFERROR(VLOOKUP($D34,'Master Sheet'!$B:$AA,5,FALSE),"")</f>
        <v/>
      </c>
      <c r="K34" s="35" t="str">
        <f>IFERROR(VLOOKUP($D34,'Master Sheet'!$B:$AA,8,FALSE),"")</f>
        <v/>
      </c>
      <c r="M34" s="9"/>
    </row>
    <row r="35" spans="1:13" ht="13.5" thickBot="1" x14ac:dyDescent="0.3">
      <c r="A35" s="10"/>
      <c r="B35" s="31"/>
      <c r="C35" s="31"/>
      <c r="D35" s="53"/>
      <c r="E35" s="33"/>
      <c r="F35" s="2"/>
      <c r="G35" s="17" t="str">
        <f>IFERROR(VLOOKUP($D35,'Master Sheet'!$B:$AA,3,FALSE),"")</f>
        <v/>
      </c>
      <c r="H35" s="2"/>
      <c r="I35" s="2" t="str">
        <f>IFERROR(VLOOKUP($D35,'Master Sheet'!$B:$AA,2,FALSE),"")</f>
        <v/>
      </c>
      <c r="J35" s="34" t="str">
        <f>IFERROR(VLOOKUP($D35,'Master Sheet'!$B:$AA,5,FALSE),"")</f>
        <v/>
      </c>
      <c r="K35" s="35" t="str">
        <f>IFERROR(VLOOKUP($D35,'Master Sheet'!$B:$AA,8,FALSE),"")</f>
        <v/>
      </c>
      <c r="M35" s="9"/>
    </row>
    <row r="36" spans="1:13" ht="13.5" thickBot="1" x14ac:dyDescent="0.3">
      <c r="A36" s="10"/>
      <c r="B36" s="31"/>
      <c r="C36" s="46" t="s">
        <v>9</v>
      </c>
      <c r="D36" s="49"/>
      <c r="E36" s="48"/>
      <c r="F36" s="47"/>
      <c r="G36" s="49"/>
      <c r="H36" s="47"/>
      <c r="I36" s="47"/>
      <c r="J36" s="61"/>
      <c r="K36" s="62"/>
      <c r="M36" s="9"/>
    </row>
    <row r="37" spans="1:13" x14ac:dyDescent="0.25">
      <c r="A37" s="10"/>
      <c r="B37" s="31"/>
      <c r="C37" s="31"/>
      <c r="D37" s="53"/>
      <c r="E37" s="33"/>
      <c r="F37" s="2"/>
      <c r="G37" s="17" t="s">
        <v>650</v>
      </c>
      <c r="H37" s="2"/>
      <c r="I37" s="2" t="str">
        <f>IFERROR(VLOOKUP($D37,'Master Sheet'!$B:$AA,2,FALSE),"")</f>
        <v/>
      </c>
      <c r="J37" s="34" t="str">
        <f>IFERROR(VLOOKUP($D37,'Master Sheet'!$B:$AA,5,FALSE),"")</f>
        <v/>
      </c>
      <c r="K37" s="35" t="str">
        <f>IFERROR(VLOOKUP($D37,'Master Sheet'!$B:$AA,8,FALSE),"")</f>
        <v/>
      </c>
      <c r="M37" s="9"/>
    </row>
    <row r="38" spans="1:13" ht="13.5" thickBot="1" x14ac:dyDescent="0.3">
      <c r="A38" s="10"/>
      <c r="B38" s="31"/>
      <c r="C38" s="31"/>
      <c r="D38" s="53"/>
      <c r="E38" s="33"/>
      <c r="F38" s="2"/>
      <c r="G38" s="17" t="str">
        <f>IFERROR(VLOOKUP($D38,'Master Sheet'!$B:$AA,3,FALSE),"")</f>
        <v/>
      </c>
      <c r="H38" s="2"/>
      <c r="I38" s="2" t="str">
        <f>IFERROR(VLOOKUP($D38,'Master Sheet'!$B:$AA,2,FALSE),"")</f>
        <v/>
      </c>
      <c r="J38" s="34" t="str">
        <f>IFERROR(VLOOKUP($D38,'Master Sheet'!$B:$AA,5,FALSE),"")</f>
        <v/>
      </c>
      <c r="K38" s="35" t="str">
        <f>IFERROR(VLOOKUP($D38,'Master Sheet'!$B:$AA,8,FALSE),"")</f>
        <v/>
      </c>
      <c r="M38" s="9"/>
    </row>
    <row r="39" spans="1:13" ht="13.5" thickBot="1" x14ac:dyDescent="0.3">
      <c r="A39" s="10"/>
      <c r="B39" s="31"/>
      <c r="C39" s="46" t="s">
        <v>23</v>
      </c>
      <c r="D39" s="49"/>
      <c r="E39" s="48"/>
      <c r="F39" s="47"/>
      <c r="G39" s="49"/>
      <c r="H39" s="47"/>
      <c r="I39" s="47"/>
      <c r="J39" s="61"/>
      <c r="K39" s="62"/>
      <c r="M39" s="9"/>
    </row>
    <row r="40" spans="1:13" x14ac:dyDescent="0.25">
      <c r="A40" s="10"/>
      <c r="B40" s="31"/>
      <c r="C40" s="31"/>
      <c r="D40" s="53" t="s">
        <v>897</v>
      </c>
      <c r="E40" s="33"/>
      <c r="F40" s="2"/>
      <c r="G40" s="17" t="str">
        <f>IFERROR(VLOOKUP($D40,'Master Sheet'!$B:$AA,3,FALSE),"")</f>
        <v>MH-32 Battery Charger</v>
      </c>
      <c r="H40" s="2"/>
      <c r="I40" s="2" t="str">
        <f>IFERROR(VLOOKUP($D40,'Master Sheet'!$B:$AA,2,FALSE),"")</f>
        <v>VEA024EB</v>
      </c>
      <c r="J40" s="34" t="str">
        <f>IFERROR(VLOOKUP($D40,'Master Sheet'!$B:$AA,5,FALSE),"")</f>
        <v>4960759904300</v>
      </c>
      <c r="K40" s="35">
        <f>IFERROR(VLOOKUP($D40,'Master Sheet'!$B:$AA,8,FALSE),"")</f>
        <v>917.95500000000004</v>
      </c>
      <c r="M40" s="9"/>
    </row>
    <row r="41" spans="1:13" x14ac:dyDescent="0.25">
      <c r="A41" s="10"/>
      <c r="B41" s="31"/>
      <c r="C41" s="31"/>
      <c r="D41" s="53" t="s">
        <v>82</v>
      </c>
      <c r="E41" s="33"/>
      <c r="F41" s="2"/>
      <c r="G41" s="17" t="str">
        <f>IFERROR(VLOOKUP($D41,'Master Sheet'!$B:$AA,3,FALSE),"")</f>
        <v>EN-EL25 RECHARGEABLE LI-ION BATTERY</v>
      </c>
      <c r="H41" s="2"/>
      <c r="I41" s="2" t="str">
        <f>IFERROR(VLOOKUP($D41,'Master Sheet'!$B:$AA,2,FALSE),"")</f>
        <v>VFB12502</v>
      </c>
      <c r="J41" s="34" t="str">
        <f>IFERROR(VLOOKUP($D41,'Master Sheet'!$B:$AA,5,FALSE),"")</f>
        <v>4960759903976</v>
      </c>
      <c r="K41" s="35">
        <f>IFERROR(VLOOKUP($D41,'Master Sheet'!$B:$AA,8,FALSE),"")</f>
        <v>1574.9550000000002</v>
      </c>
      <c r="M41" s="9"/>
    </row>
    <row r="42" spans="1:13" x14ac:dyDescent="0.25">
      <c r="A42" s="10"/>
      <c r="B42" s="31"/>
      <c r="C42" s="31"/>
      <c r="D42" s="53" t="s">
        <v>690</v>
      </c>
      <c r="E42" s="33"/>
      <c r="F42" s="2"/>
      <c r="G42" s="17" t="str">
        <f>IFERROR(VLOOKUP($D42,'Master Sheet'!$B:$AA,3,FALSE),"")</f>
        <v>Charging AC Adapter EH-7P</v>
      </c>
      <c r="H42" s="2"/>
      <c r="I42" s="2" t="str">
        <f>IFERROR(VLOOKUP($D42,'Master Sheet'!$B:$AA,2,FALSE),"")</f>
        <v>VEB029BA</v>
      </c>
      <c r="J42" s="34" t="str">
        <f>IFERROR(VLOOKUP($D42,'Master Sheet'!$B:$AA,5,FALSE),"")</f>
        <v>4960759901958</v>
      </c>
      <c r="K42" s="35">
        <f>IFERROR(VLOOKUP($D42,'Master Sheet'!$B:$AA,8,FALSE),"")</f>
        <v>917.95500000000004</v>
      </c>
      <c r="M42" s="9"/>
    </row>
    <row r="43" spans="1:13" ht="13.5" thickBot="1" x14ac:dyDescent="0.3">
      <c r="A43" s="10"/>
      <c r="B43" s="31"/>
      <c r="C43" s="31"/>
      <c r="D43" s="53"/>
      <c r="E43" s="33"/>
      <c r="F43" s="2"/>
      <c r="G43" s="17" t="str">
        <f>IFERROR(VLOOKUP($D43,'Master Sheet'!$B:$AA,3,FALSE),"")</f>
        <v/>
      </c>
      <c r="H43" s="2"/>
      <c r="I43" s="2" t="str">
        <f>IFERROR(VLOOKUP($D43,'Master Sheet'!$B:$AA,2,FALSE),"")</f>
        <v/>
      </c>
      <c r="J43" s="34" t="str">
        <f>IFERROR(VLOOKUP($D43,'Master Sheet'!$B:$AA,5,FALSE),"")</f>
        <v/>
      </c>
      <c r="K43" s="35" t="str">
        <f>IFERROR(VLOOKUP($D43,'Master Sheet'!$B:$AA,8,FALSE),"")</f>
        <v/>
      </c>
      <c r="M43" s="9"/>
    </row>
    <row r="44" spans="1:13" ht="13.5" thickBot="1" x14ac:dyDescent="0.3">
      <c r="A44" s="10"/>
      <c r="B44" s="31"/>
      <c r="C44" s="46" t="s">
        <v>29</v>
      </c>
      <c r="D44" s="49"/>
      <c r="E44" s="48"/>
      <c r="F44" s="47"/>
      <c r="G44" s="49"/>
      <c r="H44" s="47"/>
      <c r="I44" s="47"/>
      <c r="J44" s="61"/>
      <c r="K44" s="62"/>
      <c r="M44" s="9"/>
    </row>
    <row r="45" spans="1:13" x14ac:dyDescent="0.25">
      <c r="A45" s="10"/>
      <c r="B45" s="31"/>
      <c r="C45" s="31"/>
      <c r="D45" s="53" t="s">
        <v>86</v>
      </c>
      <c r="E45" s="33"/>
      <c r="F45" s="2"/>
      <c r="G45" s="17" t="str">
        <f>IFERROR(VLOOKUP($D45,'Master Sheet'!$B:$AA,3,FALSE),"")</f>
        <v>ML-L7 REMOTE CONTROL</v>
      </c>
      <c r="H45" s="2"/>
      <c r="I45" s="2" t="str">
        <f>IFERROR(VLOOKUP($D45,'Master Sheet'!$B:$AA,2,FALSE),"")</f>
        <v>VAJ57201</v>
      </c>
      <c r="J45" s="34" t="str">
        <f>IFERROR(VLOOKUP($D45,'Master Sheet'!$B:$AA,5,FALSE),"")</f>
        <v>018208259526</v>
      </c>
      <c r="K45" s="35">
        <f>IFERROR(VLOOKUP($D45,'Master Sheet'!$B:$AA,8,FALSE),"")</f>
        <v>800.95500000000004</v>
      </c>
      <c r="M45" s="9"/>
    </row>
    <row r="46" spans="1:13" ht="13.5" thickBot="1" x14ac:dyDescent="0.3">
      <c r="A46" s="10"/>
      <c r="B46" s="31"/>
      <c r="C46" s="31"/>
      <c r="D46" s="53"/>
      <c r="E46" s="33"/>
      <c r="F46" s="2"/>
      <c r="G46" s="17" t="str">
        <f>IFERROR(VLOOKUP($D46,'Master Sheet'!$B:$AA,3,FALSE),"")</f>
        <v/>
      </c>
      <c r="H46" s="2"/>
      <c r="I46" s="2" t="str">
        <f>IFERROR(VLOOKUP($D46,'Master Sheet'!$B:$AA,2,FALSE),"")</f>
        <v/>
      </c>
      <c r="J46" s="34" t="str">
        <f>IFERROR(VLOOKUP($D46,'Master Sheet'!$B:$AA,5,FALSE),"")</f>
        <v/>
      </c>
      <c r="K46" s="35" t="str">
        <f>IFERROR(VLOOKUP($D46,'Master Sheet'!$B:$AA,8,FALSE),"")</f>
        <v/>
      </c>
      <c r="M46" s="9"/>
    </row>
    <row r="47" spans="1:13" ht="13.5" thickBot="1" x14ac:dyDescent="0.3">
      <c r="A47" s="10"/>
      <c r="B47" s="31"/>
      <c r="C47" s="46" t="s">
        <v>640</v>
      </c>
      <c r="D47" s="49"/>
      <c r="E47" s="48"/>
      <c r="F47" s="47"/>
      <c r="G47" s="49"/>
      <c r="H47" s="47"/>
      <c r="I47" s="47"/>
      <c r="J47" s="61"/>
      <c r="K47" s="62"/>
      <c r="M47" s="9"/>
    </row>
    <row r="48" spans="1:13" x14ac:dyDescent="0.25">
      <c r="A48" s="10"/>
      <c r="B48" s="31"/>
      <c r="C48" s="31"/>
      <c r="D48" s="53" t="s">
        <v>582</v>
      </c>
      <c r="E48" s="33"/>
      <c r="F48" s="2"/>
      <c r="G48" s="17" t="str">
        <f>IFERROR(VLOOKUP($D48,'Master Sheet'!$B:$AA,3,FALSE),"")</f>
        <v>DK-32 Rubber Eyecup</v>
      </c>
      <c r="H48" s="2"/>
      <c r="I48" s="2">
        <f>IFERROR(VLOOKUP($D48,'Master Sheet'!$B:$AA,2,FALSE),"")</f>
        <v>0</v>
      </c>
      <c r="J48" s="34" t="str">
        <f>IFERROR(VLOOKUP($D48,'Master Sheet'!$B:$AA,5,FALSE),"")</f>
        <v>No Barcode</v>
      </c>
      <c r="K48" s="35" t="str">
        <f>IFERROR(VLOOKUP($D48,'Master Sheet'!$B:$AA,8,FALSE),"")</f>
        <v>TBC</v>
      </c>
      <c r="M48" s="9"/>
    </row>
    <row r="49" spans="1:13" ht="13.5" thickBot="1" x14ac:dyDescent="0.3">
      <c r="A49" s="10"/>
      <c r="B49" s="31"/>
      <c r="C49" s="31"/>
      <c r="D49" s="53"/>
      <c r="E49" s="33"/>
      <c r="F49" s="2"/>
      <c r="G49" s="17" t="str">
        <f>IFERROR(VLOOKUP($D49,'Master Sheet'!$B:$AA,3,FALSE),"")</f>
        <v/>
      </c>
      <c r="H49" s="2"/>
      <c r="I49" s="2" t="str">
        <f>IFERROR(VLOOKUP($D49,'Master Sheet'!$B:$AA,2,FALSE),"")</f>
        <v/>
      </c>
      <c r="J49" s="34" t="str">
        <f>IFERROR(VLOOKUP($D49,'Master Sheet'!$B:$AA,5,FALSE),"")</f>
        <v/>
      </c>
      <c r="K49" s="35" t="str">
        <f>IFERROR(VLOOKUP($D49,'Master Sheet'!$B:$AA,8,FALSE),"")</f>
        <v/>
      </c>
      <c r="M49" s="9"/>
    </row>
    <row r="50" spans="1:13" ht="13.5" thickBot="1" x14ac:dyDescent="0.3">
      <c r="A50" s="10"/>
      <c r="B50" s="31"/>
      <c r="C50" s="46" t="s">
        <v>30</v>
      </c>
      <c r="D50" s="49"/>
      <c r="E50" s="48"/>
      <c r="F50" s="47"/>
      <c r="G50" s="49"/>
      <c r="H50" s="47"/>
      <c r="I50" s="47"/>
      <c r="J50" s="61"/>
      <c r="K50" s="62"/>
      <c r="M50" s="9"/>
    </row>
    <row r="51" spans="1:13" x14ac:dyDescent="0.25">
      <c r="A51" s="10"/>
      <c r="B51" s="31"/>
      <c r="C51" s="31"/>
      <c r="D51" s="53" t="s">
        <v>270</v>
      </c>
      <c r="E51" s="33"/>
      <c r="F51" s="2"/>
      <c r="G51" s="17" t="str">
        <f>IFERROR(VLOOKUP($D51,'Master Sheet'!$B:$AA,3,FALSE),"")</f>
        <v>USB Cable UC-E25</v>
      </c>
      <c r="H51" s="2"/>
      <c r="I51" s="2" t="str">
        <f>IFERROR(VLOOKUP($D51,'Master Sheet'!$B:$AA,2,FALSE),"")</f>
        <v>VDU10801</v>
      </c>
      <c r="J51" s="34" t="str">
        <f>IFERROR(VLOOKUP($D51,'Master Sheet'!$B:$AA,5,FALSE),"")</f>
        <v>018208042234</v>
      </c>
      <c r="K51" s="35">
        <f>IFERROR(VLOOKUP($D51,'Master Sheet'!$B:$AA,8,FALSE),"")</f>
        <v>575.95500000000004</v>
      </c>
      <c r="M51" s="9"/>
    </row>
    <row r="52" spans="1:13" ht="13.5" thickBot="1" x14ac:dyDescent="0.3">
      <c r="A52" s="10"/>
      <c r="B52" s="31"/>
      <c r="C52" s="31"/>
      <c r="D52" s="53"/>
      <c r="E52" s="33"/>
      <c r="F52" s="2"/>
      <c r="G52" s="17" t="str">
        <f>IFERROR(VLOOKUP($D52,'Master Sheet'!$B:$AA,3,FALSE),"")</f>
        <v/>
      </c>
      <c r="H52" s="2"/>
      <c r="I52" s="2" t="str">
        <f>IFERROR(VLOOKUP($D52,'Master Sheet'!$B:$AA,2,FALSE),"")</f>
        <v/>
      </c>
      <c r="J52" s="34" t="str">
        <f>IFERROR(VLOOKUP($D52,'Master Sheet'!$B:$AA,5,FALSE),"")</f>
        <v/>
      </c>
      <c r="K52" s="35" t="str">
        <f>IFERROR(VLOOKUP($D52,'Master Sheet'!$B:$AA,8,FALSE),"")</f>
        <v/>
      </c>
      <c r="M52" s="9"/>
    </row>
    <row r="53" spans="1:13" ht="13.5" thickBot="1" x14ac:dyDescent="0.3">
      <c r="A53" s="10"/>
      <c r="B53" s="31"/>
      <c r="C53" s="46" t="s">
        <v>786</v>
      </c>
      <c r="D53" s="49"/>
      <c r="E53" s="48"/>
      <c r="F53" s="47"/>
      <c r="G53" s="49"/>
      <c r="H53" s="47"/>
      <c r="I53" s="47"/>
      <c r="J53" s="61"/>
      <c r="K53" s="62"/>
      <c r="M53" s="9"/>
    </row>
    <row r="54" spans="1:13" ht="25.5" x14ac:dyDescent="0.25">
      <c r="A54" s="10"/>
      <c r="B54" s="31"/>
      <c r="C54" s="31"/>
      <c r="D54" s="53" t="s">
        <v>783</v>
      </c>
      <c r="E54" s="33"/>
      <c r="F54" s="2"/>
      <c r="G54" s="17" t="str">
        <f>IFERROR(VLOOKUP($D54,'Master Sheet'!$B:$AA,3,FALSE),"")</f>
        <v>Nikon Shoulder Bag Black 0301-2204I - Black NIKON logo</v>
      </c>
      <c r="H54" s="2"/>
      <c r="I54" s="2">
        <f>IFERROR(VLOOKUP($D54,'Master Sheet'!$B:$AA,2,FALSE),"")</f>
        <v>0</v>
      </c>
      <c r="J54" s="34" t="str">
        <f>IFERROR(VLOOKUP($D54,'Master Sheet'!$B:$AA,5,FALSE),"")</f>
        <v>No Barcode</v>
      </c>
      <c r="K54" s="35">
        <f>IFERROR(VLOOKUP($D54,'Master Sheet'!$B:$AA,8,FALSE),"")</f>
        <v>296.95499999999998</v>
      </c>
      <c r="M54" s="9"/>
    </row>
    <row r="55" spans="1:13" x14ac:dyDescent="0.25">
      <c r="A55" s="10"/>
      <c r="B55" s="31"/>
      <c r="C55" s="31"/>
      <c r="D55" s="53"/>
      <c r="E55" s="33"/>
      <c r="F55" s="2"/>
      <c r="G55" s="17" t="str">
        <f>IFERROR(VLOOKUP($D55,'Master Sheet'!$B:$AA,3,FALSE),"")</f>
        <v/>
      </c>
      <c r="H55" s="2"/>
      <c r="I55" s="2" t="str">
        <f>IFERROR(VLOOKUP($D55,'Master Sheet'!$B:$AA,2,FALSE),"")</f>
        <v/>
      </c>
      <c r="J55" s="34" t="str">
        <f>IFERROR(VLOOKUP($D55,'Master Sheet'!$B:$AA,5,FALSE),"")</f>
        <v/>
      </c>
      <c r="K55" s="35" t="str">
        <f>IFERROR(VLOOKUP($D55,'Master Sheet'!$B:$AA,8,FALSE),"")</f>
        <v/>
      </c>
      <c r="M55" s="9"/>
    </row>
    <row r="56" spans="1:13" x14ac:dyDescent="0.25">
      <c r="A56" s="10"/>
      <c r="B56" s="33"/>
      <c r="C56" s="31"/>
      <c r="D56" s="53"/>
      <c r="E56" s="33"/>
      <c r="F56" s="2"/>
      <c r="G56" s="17" t="str">
        <f>IFERROR(VLOOKUP($D56,'Master Sheet'!$B:$AA,3,FALSE),"")</f>
        <v/>
      </c>
      <c r="H56" s="2"/>
      <c r="I56" s="2" t="str">
        <f>IFERROR(VLOOKUP($D56,'Master Sheet'!$B:$AA,2,FALSE),"")</f>
        <v/>
      </c>
      <c r="J56" s="34" t="str">
        <f>IFERROR(VLOOKUP($D56,'Master Sheet'!$B:$AA,5,FALSE),"")</f>
        <v/>
      </c>
      <c r="K56" s="35" t="str">
        <f>IFERROR(VLOOKUP($D56,'Master Sheet'!$B:$AA,8,FALSE),"")</f>
        <v/>
      </c>
      <c r="M56" s="9"/>
    </row>
    <row r="57" spans="1:13" x14ac:dyDescent="0.25">
      <c r="A57" s="10"/>
      <c r="B57" s="10"/>
      <c r="C57" s="10"/>
      <c r="D57" s="16"/>
      <c r="E57" s="10"/>
      <c r="F57" s="10"/>
      <c r="G57" s="50"/>
      <c r="H57" s="6"/>
      <c r="I57" s="6"/>
      <c r="J57" s="51"/>
      <c r="K57" s="52"/>
      <c r="L57" s="9"/>
      <c r="M57" s="9"/>
    </row>
  </sheetData>
  <mergeCells count="5">
    <mergeCell ref="D11:D12"/>
    <mergeCell ref="D14:D15"/>
    <mergeCell ref="D17:D18"/>
    <mergeCell ref="G20:K20"/>
    <mergeCell ref="D20:D21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62E8-D1E8-4FFB-8F64-B5C44A9BA8DE}">
  <sheetPr>
    <pageSetUpPr fitToPage="1"/>
  </sheetPr>
  <dimension ref="A1:R63"/>
  <sheetViews>
    <sheetView showGridLines="0" showRowColHeaders="0" topLeftCell="A26" zoomScale="85" zoomScaleNormal="85" workbookViewId="0">
      <selection activeCell="K22" sqref="K22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8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8" x14ac:dyDescent="0.25">
      <c r="A2" s="10"/>
      <c r="B2" s="31"/>
      <c r="C2" s="31"/>
      <c r="D2" s="53"/>
      <c r="E2" s="33"/>
      <c r="F2" s="8"/>
      <c r="G2" s="22"/>
      <c r="H2" s="8"/>
      <c r="J2" s="34"/>
      <c r="K2" s="35"/>
      <c r="M2" s="7"/>
    </row>
    <row r="3" spans="1:18" x14ac:dyDescent="0.25">
      <c r="A3" s="10"/>
      <c r="B3" s="31"/>
      <c r="C3" s="18" t="s">
        <v>0</v>
      </c>
      <c r="D3" s="70"/>
      <c r="E3" s="36"/>
      <c r="F3" s="8"/>
      <c r="G3" s="22"/>
      <c r="H3" s="8"/>
      <c r="J3" s="34"/>
      <c r="K3" s="35"/>
      <c r="M3" s="7"/>
    </row>
    <row r="4" spans="1:18" x14ac:dyDescent="0.25">
      <c r="A4" s="10"/>
      <c r="B4" s="31"/>
      <c r="C4" s="31"/>
      <c r="D4" s="58" t="s">
        <v>45</v>
      </c>
      <c r="E4" s="36"/>
      <c r="F4" s="8"/>
      <c r="G4" s="22"/>
      <c r="H4" s="8"/>
      <c r="J4" s="34"/>
      <c r="K4" s="35"/>
      <c r="M4" s="7"/>
    </row>
    <row r="5" spans="1:18" x14ac:dyDescent="0.25">
      <c r="A5" s="10"/>
      <c r="B5" s="31"/>
      <c r="C5" s="18" t="s">
        <v>2</v>
      </c>
      <c r="D5" s="14"/>
      <c r="E5" s="36"/>
      <c r="F5" s="8"/>
      <c r="G5" s="22"/>
      <c r="H5" s="8"/>
      <c r="J5" s="34"/>
      <c r="K5" s="35"/>
      <c r="M5" s="7"/>
    </row>
    <row r="6" spans="1:18" x14ac:dyDescent="0.25">
      <c r="A6" s="10"/>
      <c r="B6" s="31"/>
      <c r="C6" s="31"/>
      <c r="D6" s="58" t="s">
        <v>655</v>
      </c>
      <c r="E6" s="36"/>
      <c r="F6" s="8"/>
      <c r="G6" s="22"/>
      <c r="H6" s="8"/>
      <c r="J6" s="34"/>
      <c r="K6" s="35"/>
      <c r="M6" s="7"/>
    </row>
    <row r="7" spans="1:18" x14ac:dyDescent="0.25">
      <c r="A7" s="10"/>
      <c r="B7" s="31"/>
      <c r="C7" s="18" t="s">
        <v>3</v>
      </c>
      <c r="D7" s="14"/>
      <c r="E7" s="36"/>
      <c r="F7" s="8"/>
      <c r="G7" s="22"/>
      <c r="H7" s="8"/>
      <c r="J7" s="34"/>
      <c r="K7" s="35"/>
      <c r="M7" s="7"/>
    </row>
    <row r="8" spans="1:18" x14ac:dyDescent="0.25">
      <c r="A8" s="10"/>
      <c r="B8" s="31"/>
      <c r="C8" s="31"/>
      <c r="D8" s="58" t="s">
        <v>818</v>
      </c>
      <c r="E8" s="36"/>
      <c r="F8" s="8"/>
      <c r="G8" s="22"/>
      <c r="H8" s="8"/>
      <c r="J8" s="34"/>
      <c r="K8" s="35"/>
      <c r="M8" s="7"/>
    </row>
    <row r="9" spans="1:18" x14ac:dyDescent="0.25">
      <c r="A9" s="10"/>
      <c r="B9" s="31"/>
      <c r="C9" s="31"/>
      <c r="D9" s="58"/>
      <c r="E9" s="36"/>
      <c r="F9" s="8"/>
      <c r="G9" s="22"/>
      <c r="H9" s="8"/>
      <c r="J9" s="34"/>
      <c r="K9" s="35"/>
      <c r="M9" s="7"/>
    </row>
    <row r="10" spans="1:18" x14ac:dyDescent="0.25">
      <c r="A10" s="10"/>
      <c r="B10" s="31"/>
      <c r="C10" s="18" t="s">
        <v>4</v>
      </c>
      <c r="D10" s="14"/>
      <c r="E10" s="36"/>
      <c r="F10" s="8"/>
      <c r="G10" s="22"/>
      <c r="H10" s="8"/>
      <c r="J10" s="34"/>
      <c r="K10" s="35"/>
      <c r="M10" s="7"/>
    </row>
    <row r="11" spans="1:18" x14ac:dyDescent="0.25">
      <c r="A11" s="10"/>
      <c r="B11" s="31"/>
      <c r="C11" s="37"/>
      <c r="D11" s="93" t="s">
        <v>656</v>
      </c>
      <c r="E11" s="36"/>
      <c r="F11" s="8"/>
      <c r="G11" s="22"/>
      <c r="H11" s="8"/>
      <c r="J11" s="34"/>
      <c r="K11" s="35"/>
      <c r="M11" s="9"/>
    </row>
    <row r="12" spans="1:18" ht="27" customHeight="1" x14ac:dyDescent="0.25">
      <c r="A12" s="10"/>
      <c r="B12" s="31"/>
      <c r="C12" s="37"/>
      <c r="D12" s="93"/>
      <c r="E12" s="36"/>
      <c r="F12" s="8"/>
      <c r="G12" s="22"/>
      <c r="H12" s="8"/>
      <c r="J12" s="34"/>
      <c r="K12" s="35"/>
      <c r="M12" s="9"/>
      <c r="R12"/>
    </row>
    <row r="13" spans="1:18" ht="15" x14ac:dyDescent="0.25">
      <c r="A13" s="10"/>
      <c r="B13" s="31"/>
      <c r="C13" s="18" t="s">
        <v>5</v>
      </c>
      <c r="D13" s="14"/>
      <c r="E13" s="36"/>
      <c r="F13" s="8"/>
      <c r="G13" s="22"/>
      <c r="H13" s="8"/>
      <c r="J13" s="34"/>
      <c r="K13" s="35"/>
      <c r="M13" s="9"/>
      <c r="Q13"/>
    </row>
    <row r="14" spans="1:18" x14ac:dyDescent="0.25">
      <c r="A14" s="10"/>
      <c r="B14" s="31"/>
      <c r="C14" s="31"/>
      <c r="D14" s="93" t="s">
        <v>657</v>
      </c>
      <c r="E14" s="36"/>
      <c r="F14" s="8"/>
      <c r="G14" s="22"/>
      <c r="H14" s="8"/>
      <c r="J14" s="34"/>
      <c r="K14" s="35"/>
      <c r="M14" s="9"/>
    </row>
    <row r="15" spans="1:18" x14ac:dyDescent="0.25">
      <c r="A15" s="10"/>
      <c r="B15" s="31"/>
      <c r="C15" s="31"/>
      <c r="D15" s="93"/>
      <c r="E15" s="36"/>
      <c r="F15" s="8"/>
      <c r="G15" s="22"/>
      <c r="H15" s="8"/>
      <c r="J15" s="34"/>
      <c r="K15" s="35"/>
      <c r="M15" s="9"/>
    </row>
    <row r="16" spans="1:18" x14ac:dyDescent="0.25">
      <c r="A16" s="10"/>
      <c r="B16" s="31"/>
      <c r="C16" s="18" t="s">
        <v>6</v>
      </c>
      <c r="D16" s="14"/>
      <c r="E16" s="36"/>
      <c r="F16" s="8"/>
      <c r="G16" s="22"/>
      <c r="H16" s="8"/>
      <c r="J16" s="34"/>
      <c r="K16" s="35"/>
      <c r="M16" s="9"/>
    </row>
    <row r="17" spans="1:17" ht="15" x14ac:dyDescent="0.25">
      <c r="A17" s="10"/>
      <c r="B17" s="31"/>
      <c r="C17" s="31"/>
      <c r="D17" s="93" t="s">
        <v>882</v>
      </c>
      <c r="E17" s="36"/>
      <c r="F17" s="8"/>
      <c r="G17" s="22"/>
      <c r="H17" s="8"/>
      <c r="J17" s="34"/>
      <c r="K17" s="35"/>
      <c r="M17" s="9"/>
      <c r="Q17"/>
    </row>
    <row r="18" spans="1:17" x14ac:dyDescent="0.25">
      <c r="A18" s="10"/>
      <c r="B18" s="31"/>
      <c r="C18" s="31"/>
      <c r="D18" s="93"/>
      <c r="E18" s="36"/>
      <c r="F18" s="8"/>
      <c r="G18" s="22"/>
      <c r="H18" s="8"/>
      <c r="J18" s="34"/>
      <c r="K18" s="35"/>
      <c r="M18" s="9"/>
    </row>
    <row r="19" spans="1:17" ht="13.5" thickBot="1" x14ac:dyDescent="0.3">
      <c r="A19" s="10"/>
      <c r="B19" s="31"/>
      <c r="C19" s="18" t="s">
        <v>7</v>
      </c>
      <c r="D19" s="14"/>
      <c r="E19" s="36"/>
      <c r="F19" s="8"/>
      <c r="G19" s="22"/>
      <c r="H19" s="8"/>
      <c r="J19" s="34"/>
      <c r="K19" s="35"/>
      <c r="M19" s="9"/>
    </row>
    <row r="20" spans="1:17" ht="13.5" thickBot="1" x14ac:dyDescent="0.3">
      <c r="A20" s="10"/>
      <c r="B20" s="31"/>
      <c r="C20" s="31"/>
      <c r="D20" s="94" t="s">
        <v>793</v>
      </c>
      <c r="E20" s="36"/>
      <c r="F20" s="8"/>
      <c r="G20" s="90" t="s">
        <v>673</v>
      </c>
      <c r="H20" s="91"/>
      <c r="I20" s="91"/>
      <c r="J20" s="91"/>
      <c r="K20" s="92"/>
      <c r="M20" s="9"/>
    </row>
    <row r="21" spans="1:17" ht="13.5" thickBot="1" x14ac:dyDescent="0.3">
      <c r="A21" s="10"/>
      <c r="B21" s="31"/>
      <c r="C21" s="31"/>
      <c r="D21" s="95"/>
      <c r="E21" s="36"/>
      <c r="F21" s="8"/>
      <c r="G21" s="22"/>
      <c r="H21" s="8"/>
      <c r="J21" s="34"/>
      <c r="K21" s="35"/>
      <c r="M21" s="9"/>
    </row>
    <row r="22" spans="1:17" ht="13.5" thickBot="1" x14ac:dyDescent="0.3">
      <c r="A22" s="10"/>
      <c r="B22" s="31"/>
      <c r="C22" s="39" t="s">
        <v>48</v>
      </c>
      <c r="D22" s="60"/>
      <c r="E22" s="40"/>
      <c r="F22" s="55"/>
      <c r="G22" s="41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7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7" ht="25.5" x14ac:dyDescent="0.25">
      <c r="A24" s="10"/>
      <c r="B24" s="31"/>
      <c r="C24" s="31"/>
      <c r="D24" s="53" t="s">
        <v>883</v>
      </c>
      <c r="E24" s="33"/>
      <c r="F24" s="2"/>
      <c r="G24" s="17" t="str">
        <f>IFERROR(VLOOKUP($D24,'Master Sheet'!$B:$AA,3,FALSE),"")</f>
        <v>Nikon Z50 II Mirrorless Digital Camera (Body Only)</v>
      </c>
      <c r="H24" s="2"/>
      <c r="I24" s="2" t="str">
        <f>IFERROR(VLOOKUP($D24,'Master Sheet'!$B:$AA,2,FALSE),"")</f>
        <v>VOA150AM</v>
      </c>
      <c r="J24" s="34" t="str">
        <f>IFERROR(VLOOKUP($D24,'Master Sheet'!$B:$AA,5,FALSE),"")</f>
        <v>4960759916785</v>
      </c>
      <c r="K24" s="35">
        <f>IFERROR(VLOOKUP($D24,'Master Sheet'!$B:$AA,8,FALSE),"")</f>
        <v>16433.955000000002</v>
      </c>
      <c r="M24" s="9"/>
    </row>
    <row r="25" spans="1:17" ht="25.5" x14ac:dyDescent="0.25">
      <c r="A25" s="10"/>
      <c r="B25" s="31"/>
      <c r="C25" s="31"/>
      <c r="D25" s="53" t="s">
        <v>884</v>
      </c>
      <c r="E25" s="33"/>
      <c r="F25" s="2"/>
      <c r="G25" s="17" t="str">
        <f>IFERROR(VLOOKUP($D25,'Master Sheet'!$B:$AA,3,FALSE),"")</f>
        <v>Nikon Z50 II Single Kit: 16-50MM f3.5-6.3 VR DX Lens+Bag  6009658263847</v>
      </c>
      <c r="H25" s="2"/>
      <c r="I25" s="2">
        <f>IFERROR(VLOOKUP($D25,'Master Sheet'!$B:$AA,2,FALSE),"")</f>
        <v>0</v>
      </c>
      <c r="J25" s="34" t="str">
        <f>IFERROR(VLOOKUP($D25,'Master Sheet'!$B:$AA,5,FALSE),"")</f>
        <v>6009658263847</v>
      </c>
      <c r="K25" s="35">
        <f>IFERROR(VLOOKUP($D25,'Master Sheet'!$B:$AA,8,FALSE),"")</f>
        <v>19574.955000000002</v>
      </c>
      <c r="M25" s="9"/>
    </row>
    <row r="26" spans="1:17" ht="38.25" x14ac:dyDescent="0.25">
      <c r="A26" s="10"/>
      <c r="B26" s="31"/>
      <c r="C26" s="31"/>
      <c r="D26" s="53" t="s">
        <v>885</v>
      </c>
      <c r="E26" s="33"/>
      <c r="F26" s="2"/>
      <c r="G26" s="17" t="str">
        <f>IFERROR(VLOOKUP($D26,'Master Sheet'!$B:$AA,3,FALSE),"")</f>
        <v>Nikon Z50 II Twin Kit: 16-50MM f3.5-6.3 VR DX+50-250MM F4.5-6.3 VR DX Lens+Bag+Card  6009658263854</v>
      </c>
      <c r="H26" s="2"/>
      <c r="I26" s="2">
        <f>IFERROR(VLOOKUP($D26,'Master Sheet'!$B:$AA,2,FALSE),"")</f>
        <v>0</v>
      </c>
      <c r="J26" s="34" t="str">
        <f>IFERROR(VLOOKUP($D26,'Master Sheet'!$B:$AA,5,FALSE),"")</f>
        <v>6009658263854</v>
      </c>
      <c r="K26" s="35">
        <f>IFERROR(VLOOKUP($D26,'Master Sheet'!$B:$AA,8,FALSE),"")</f>
        <v>25046.955000000002</v>
      </c>
      <c r="M26" s="9"/>
    </row>
    <row r="27" spans="1:17" ht="38.25" x14ac:dyDescent="0.25">
      <c r="A27" s="10"/>
      <c r="B27" s="31"/>
      <c r="C27" s="31"/>
      <c r="D27" s="53" t="s">
        <v>886</v>
      </c>
      <c r="E27" s="33"/>
      <c r="F27" s="2"/>
      <c r="G27" s="17" t="str">
        <f>IFERROR(VLOOKUP($D27,'Master Sheet'!$B:$AA,3,FALSE),"")</f>
        <v>Nikon Z50 II Trip Kti: 16-50MM f3.5-6.3+50-250MM f4.5-6.3+35MM f1.4 Lens+Bag+Card    6009658263861</v>
      </c>
      <c r="H27" s="2"/>
      <c r="I27" s="2">
        <f>IFERROR(VLOOKUP($D27,'Master Sheet'!$B:$AA,2,FALSE),"")</f>
        <v>0</v>
      </c>
      <c r="J27" s="34" t="str">
        <f>IFERROR(VLOOKUP($D27,'Master Sheet'!$B:$AA,5,FALSE),"")</f>
        <v>6009658263861</v>
      </c>
      <c r="K27" s="35">
        <f>IFERROR(VLOOKUP($D27,'Master Sheet'!$B:$AA,8,FALSE),"")</f>
        <v>33659.955000000002</v>
      </c>
      <c r="M27" s="9"/>
    </row>
    <row r="28" spans="1:17" ht="38.25" x14ac:dyDescent="0.25">
      <c r="A28" s="10"/>
      <c r="B28" s="31"/>
      <c r="C28" s="31"/>
      <c r="D28" s="53" t="s">
        <v>887</v>
      </c>
      <c r="E28" s="33"/>
      <c r="F28" s="2"/>
      <c r="G28" s="17" t="str">
        <f>IFERROR(VLOOKUP($D28,'Master Sheet'!$B:$AA,3,FALSE),"")</f>
        <v>Nikon Z50 II Creator Kit: 16-50MM f3.5-6.3 VR DX Lens+Bag+Card+ML-L7+Tripod+Mic  6009658263878</v>
      </c>
      <c r="H28" s="2"/>
      <c r="I28" s="2">
        <f>IFERROR(VLOOKUP($D28,'Master Sheet'!$B:$AA,2,FALSE),"")</f>
        <v>0</v>
      </c>
      <c r="J28" s="34" t="str">
        <f>IFERROR(VLOOKUP($D28,'Master Sheet'!$B:$AA,5,FALSE),"")</f>
        <v>6009658263878</v>
      </c>
      <c r="K28" s="35">
        <f>IFERROR(VLOOKUP($D28,'Master Sheet'!$B:$AA,8,FALSE),"")</f>
        <v>21914.955000000002</v>
      </c>
      <c r="M28" s="9"/>
    </row>
    <row r="29" spans="1:17" ht="38.25" x14ac:dyDescent="0.25">
      <c r="A29" s="10"/>
      <c r="B29" s="31"/>
      <c r="C29" s="31"/>
      <c r="D29" s="53" t="s">
        <v>888</v>
      </c>
      <c r="E29" s="33"/>
      <c r="F29" s="2"/>
      <c r="G29" s="17" t="str">
        <f>IFERROR(VLOOKUP($D29,'Master Sheet'!$B:$AA,3,FALSE),"")</f>
        <v>Nikon Z50 II Vlogging Kit: 35mm F1.4 Lens+Bag+Card+ML-L7+Tripod+Mic  6009658263885</v>
      </c>
      <c r="H29" s="2"/>
      <c r="I29" s="2">
        <f>IFERROR(VLOOKUP($D29,'Master Sheet'!$B:$AA,2,FALSE),"")</f>
        <v>0</v>
      </c>
      <c r="J29" s="34" t="str">
        <f>IFERROR(VLOOKUP($D29,'Master Sheet'!$B:$AA,5,FALSE),"")</f>
        <v>6009658263885</v>
      </c>
      <c r="K29" s="35">
        <f>IFERROR(VLOOKUP($D29,'Master Sheet'!$B:$AA,8,FALSE),"")</f>
        <v>28961.955000000002</v>
      </c>
      <c r="M29" s="9"/>
    </row>
    <row r="30" spans="1:17" ht="13.5" thickBot="1" x14ac:dyDescent="0.3">
      <c r="A30" s="10"/>
      <c r="B30" s="31"/>
      <c r="C30" s="31"/>
      <c r="D30" s="53"/>
      <c r="E30" s="33"/>
      <c r="F30" s="2"/>
      <c r="G30" s="17" t="str">
        <f>IFERROR(VLOOKUP($D30,'Master Sheet'!$B:$AA,3,FALSE),"")</f>
        <v/>
      </c>
      <c r="H30" s="2"/>
      <c r="I30" s="2" t="str">
        <f>IFERROR(VLOOKUP($D30,'Master Sheet'!$B:$AA,2,FALSE),"")</f>
        <v/>
      </c>
      <c r="J30" s="34" t="str">
        <f>IFERROR(VLOOKUP($D30,'Master Sheet'!$B:$AA,5,FALSE),"")</f>
        <v/>
      </c>
      <c r="K30" s="35" t="str">
        <f>IFERROR(VLOOKUP($D30,'Master Sheet'!$B:$AA,8,FALSE),"")</f>
        <v/>
      </c>
      <c r="M30" s="9"/>
    </row>
    <row r="31" spans="1:17" ht="13.5" thickBot="1" x14ac:dyDescent="0.3">
      <c r="A31" s="10"/>
      <c r="B31" s="31"/>
      <c r="C31" s="46" t="s">
        <v>31</v>
      </c>
      <c r="D31" s="49"/>
      <c r="E31" s="48"/>
      <c r="F31" s="47"/>
      <c r="G31" s="49"/>
      <c r="H31" s="47"/>
      <c r="I31" s="47"/>
      <c r="J31" s="61"/>
      <c r="K31" s="62"/>
      <c r="M31" s="9"/>
    </row>
    <row r="32" spans="1:17" x14ac:dyDescent="0.25">
      <c r="A32" s="10"/>
      <c r="B32" s="31"/>
      <c r="C32" s="31"/>
      <c r="D32" s="53" t="s">
        <v>435</v>
      </c>
      <c r="E32" s="33"/>
      <c r="F32" s="2"/>
      <c r="G32" s="17" t="str">
        <f>IFERROR(VLOOKUP($D32,'Master Sheet'!$B:$AA,3,FALSE),"")</f>
        <v>BF-N1 Body Cap (Z-Series)</v>
      </c>
      <c r="H32" s="2"/>
      <c r="I32" s="2" t="str">
        <f>IFERROR(VLOOKUP($D32,'Master Sheet'!$B:$AA,2,FALSE),"")</f>
        <v>VOD00101</v>
      </c>
      <c r="J32" s="34" t="str">
        <f>IFERROR(VLOOKUP($D32,'Master Sheet'!$B:$AA,5,FALSE),"")</f>
        <v>4960759901002</v>
      </c>
      <c r="K32" s="35">
        <f>IFERROR(VLOOKUP($D32,'Master Sheet'!$B:$AA,8,FALSE),"")</f>
        <v>116.955</v>
      </c>
      <c r="M32" s="9"/>
    </row>
    <row r="33" spans="1:13" ht="13.5" thickBot="1" x14ac:dyDescent="0.3">
      <c r="A33" s="10"/>
      <c r="B33" s="31"/>
      <c r="C33" s="31"/>
      <c r="D33" s="53"/>
      <c r="E33" s="33"/>
      <c r="F33" s="2"/>
      <c r="H33" s="2"/>
      <c r="J33" s="34"/>
      <c r="K33" s="35"/>
      <c r="M33" s="9"/>
    </row>
    <row r="34" spans="1:13" ht="13.5" thickBot="1" x14ac:dyDescent="0.3">
      <c r="A34" s="10"/>
      <c r="B34" s="31"/>
      <c r="C34" s="46" t="s">
        <v>641</v>
      </c>
      <c r="D34" s="49"/>
      <c r="E34" s="48"/>
      <c r="F34" s="47"/>
      <c r="G34" s="49"/>
      <c r="H34" s="47"/>
      <c r="I34" s="47"/>
      <c r="J34" s="61"/>
      <c r="K34" s="62"/>
      <c r="M34" s="9"/>
    </row>
    <row r="35" spans="1:13" x14ac:dyDescent="0.25">
      <c r="A35" s="10"/>
      <c r="B35" s="31"/>
      <c r="C35" s="31"/>
      <c r="D35" s="53" t="s">
        <v>481</v>
      </c>
      <c r="E35" s="33"/>
      <c r="F35" s="2"/>
      <c r="G35" s="17" t="str">
        <f>IFERROR(VLOOKUP($D35,'Master Sheet'!$B:$AA,3,FALSE),"")</f>
        <v>FTZ II Mount Adapter</v>
      </c>
      <c r="H35" s="2"/>
      <c r="I35" s="2" t="str">
        <f>IFERROR(VLOOKUP($D35,'Master Sheet'!$B:$AA,2,FALSE),"")</f>
        <v>JMA905DA</v>
      </c>
      <c r="J35" s="34" t="str">
        <f>IFERROR(VLOOKUP($D35,'Master Sheet'!$B:$AA,5,FALSE),"")</f>
        <v>018208042647</v>
      </c>
      <c r="K35" s="35">
        <f>IFERROR(VLOOKUP($D35,'Master Sheet'!$B:$AA,8,FALSE),"")</f>
        <v>4049.9549999999999</v>
      </c>
      <c r="M35" s="9"/>
    </row>
    <row r="36" spans="1:13" ht="13.5" thickBot="1" x14ac:dyDescent="0.3">
      <c r="A36" s="10"/>
      <c r="B36" s="31"/>
      <c r="C36" s="31"/>
      <c r="D36" s="53"/>
      <c r="E36" s="33"/>
      <c r="F36" s="2"/>
      <c r="G36" s="17" t="str">
        <f>IFERROR(VLOOKUP($D36,'Master Sheet'!$B:$AA,3,FALSE),"")</f>
        <v/>
      </c>
      <c r="H36" s="2"/>
      <c r="I36" s="2" t="str">
        <f>IFERROR(VLOOKUP($D36,'Master Sheet'!$B:$AA,2,FALSE),"")</f>
        <v/>
      </c>
      <c r="J36" s="34" t="str">
        <f>IFERROR(VLOOKUP($D36,'Master Sheet'!$B:$AA,5,FALSE),"")</f>
        <v/>
      </c>
      <c r="K36" s="35" t="str">
        <f>IFERROR(VLOOKUP($D36,'Master Sheet'!$B:$AA,8,FALSE),"")</f>
        <v/>
      </c>
      <c r="M36" s="9"/>
    </row>
    <row r="37" spans="1:13" ht="13.5" thickBot="1" x14ac:dyDescent="0.3">
      <c r="A37" s="10"/>
      <c r="B37" s="31"/>
      <c r="C37" s="46" t="s">
        <v>8</v>
      </c>
      <c r="D37" s="49"/>
      <c r="E37" s="48"/>
      <c r="F37" s="47"/>
      <c r="G37" s="49"/>
      <c r="H37" s="47"/>
      <c r="I37" s="47"/>
      <c r="J37" s="61"/>
      <c r="K37" s="62"/>
      <c r="M37" s="9"/>
    </row>
    <row r="38" spans="1:13" x14ac:dyDescent="0.25">
      <c r="A38" s="10"/>
      <c r="B38" s="31"/>
      <c r="C38" s="31"/>
      <c r="D38" s="53"/>
      <c r="E38" s="33"/>
      <c r="F38" s="2"/>
      <c r="G38" s="17" t="s">
        <v>649</v>
      </c>
      <c r="H38" s="2"/>
      <c r="I38" s="2" t="str">
        <f>IFERROR(VLOOKUP($D38,'Master Sheet'!$B:$AA,2,FALSE),"")</f>
        <v/>
      </c>
      <c r="J38" s="34" t="str">
        <f>IFERROR(VLOOKUP($D38,'Master Sheet'!$B:$AA,5,FALSE),"")</f>
        <v/>
      </c>
      <c r="K38" s="35" t="str">
        <f>IFERROR(VLOOKUP($D38,'Master Sheet'!$B:$AA,8,FALSE),"")</f>
        <v/>
      </c>
      <c r="M38" s="9"/>
    </row>
    <row r="39" spans="1:13" ht="13.5" thickBot="1" x14ac:dyDescent="0.3">
      <c r="A39" s="10"/>
      <c r="B39" s="31"/>
      <c r="C39" s="31"/>
      <c r="D39" s="53"/>
      <c r="E39" s="33"/>
      <c r="F39" s="2"/>
      <c r="G39" s="17" t="str">
        <f>IFERROR(VLOOKUP($D39,'Master Sheet'!$B:$AA,3,FALSE),"")</f>
        <v/>
      </c>
      <c r="H39" s="2"/>
      <c r="I39" s="2" t="str">
        <f>IFERROR(VLOOKUP($D39,'Master Sheet'!$B:$AA,2,FALSE),"")</f>
        <v/>
      </c>
      <c r="J39" s="34" t="str">
        <f>IFERROR(VLOOKUP($D39,'Master Sheet'!$B:$AA,5,FALSE),"")</f>
        <v/>
      </c>
      <c r="K39" s="35" t="str">
        <f>IFERROR(VLOOKUP($D39,'Master Sheet'!$B:$AA,8,FALSE),"")</f>
        <v/>
      </c>
      <c r="M39" s="9"/>
    </row>
    <row r="40" spans="1:13" ht="13.5" thickBot="1" x14ac:dyDescent="0.3">
      <c r="A40" s="10"/>
      <c r="B40" s="31"/>
      <c r="C40" s="46" t="s">
        <v>9</v>
      </c>
      <c r="D40" s="49"/>
      <c r="E40" s="48"/>
      <c r="F40" s="47"/>
      <c r="G40" s="49"/>
      <c r="H40" s="47"/>
      <c r="I40" s="47"/>
      <c r="J40" s="61"/>
      <c r="K40" s="62"/>
      <c r="M40" s="9"/>
    </row>
    <row r="41" spans="1:13" x14ac:dyDescent="0.25">
      <c r="A41" s="10"/>
      <c r="B41" s="31"/>
      <c r="C41" s="31"/>
      <c r="D41" s="53"/>
      <c r="E41" s="33"/>
      <c r="F41" s="2"/>
      <c r="G41" s="17" t="s">
        <v>650</v>
      </c>
      <c r="H41" s="2"/>
      <c r="I41" s="2" t="str">
        <f>IFERROR(VLOOKUP($D41,'Master Sheet'!$B:$AA,2,FALSE),"")</f>
        <v/>
      </c>
      <c r="J41" s="34" t="str">
        <f>IFERROR(VLOOKUP($D41,'Master Sheet'!$B:$AA,5,FALSE),"")</f>
        <v/>
      </c>
      <c r="K41" s="35" t="str">
        <f>IFERROR(VLOOKUP($D41,'Master Sheet'!$B:$AA,8,FALSE),"")</f>
        <v/>
      </c>
      <c r="M41" s="9"/>
    </row>
    <row r="42" spans="1:13" ht="13.5" thickBot="1" x14ac:dyDescent="0.3">
      <c r="A42" s="10"/>
      <c r="B42" s="31"/>
      <c r="C42" s="31"/>
      <c r="D42" s="53"/>
      <c r="E42" s="33"/>
      <c r="F42" s="2"/>
      <c r="G42" s="17" t="str">
        <f>IFERROR(VLOOKUP($D42,'Master Sheet'!$B:$AA,3,FALSE),"")</f>
        <v/>
      </c>
      <c r="H42" s="2"/>
      <c r="I42" s="2" t="str">
        <f>IFERROR(VLOOKUP($D42,'Master Sheet'!$B:$AA,2,FALSE),"")</f>
        <v/>
      </c>
      <c r="J42" s="34" t="str">
        <f>IFERROR(VLOOKUP($D42,'Master Sheet'!$B:$AA,5,FALSE),"")</f>
        <v/>
      </c>
      <c r="K42" s="35" t="str">
        <f>IFERROR(VLOOKUP($D42,'Master Sheet'!$B:$AA,8,FALSE),"")</f>
        <v/>
      </c>
      <c r="M42" s="9"/>
    </row>
    <row r="43" spans="1:13" ht="13.5" thickBot="1" x14ac:dyDescent="0.3">
      <c r="A43" s="10"/>
      <c r="B43" s="31"/>
      <c r="C43" s="46" t="s">
        <v>23</v>
      </c>
      <c r="D43" s="49"/>
      <c r="E43" s="48"/>
      <c r="F43" s="47"/>
      <c r="G43" s="49"/>
      <c r="H43" s="47"/>
      <c r="I43" s="47"/>
      <c r="J43" s="61"/>
      <c r="K43" s="62"/>
      <c r="M43" s="9"/>
    </row>
    <row r="44" spans="1:13" x14ac:dyDescent="0.25">
      <c r="A44" s="10"/>
      <c r="B44" s="31"/>
      <c r="C44" s="31"/>
      <c r="D44" s="53" t="s">
        <v>897</v>
      </c>
      <c r="E44" s="33"/>
      <c r="F44" s="2"/>
      <c r="G44" s="17" t="str">
        <f>IFERROR(VLOOKUP($D44,'Master Sheet'!$B:$AA,3,FALSE),"")</f>
        <v>MH-32 Battery Charger</v>
      </c>
      <c r="H44" s="2"/>
      <c r="I44" s="2" t="str">
        <f>IFERROR(VLOOKUP($D44,'Master Sheet'!$B:$AA,2,FALSE),"")</f>
        <v>VEA024EB</v>
      </c>
      <c r="J44" s="34" t="str">
        <f>IFERROR(VLOOKUP($D44,'Master Sheet'!$B:$AA,5,FALSE),"")</f>
        <v>4960759904300</v>
      </c>
      <c r="K44" s="35">
        <f>IFERROR(VLOOKUP($D44,'Master Sheet'!$B:$AA,8,FALSE),"")</f>
        <v>917.95500000000004</v>
      </c>
      <c r="M44" s="9"/>
    </row>
    <row r="45" spans="1:13" x14ac:dyDescent="0.25">
      <c r="A45" s="10"/>
      <c r="B45" s="31"/>
      <c r="C45" s="31"/>
      <c r="D45" s="53" t="s">
        <v>889</v>
      </c>
      <c r="E45" s="33"/>
      <c r="F45" s="2"/>
      <c r="G45" s="17" t="str">
        <f>IFERROR(VLOOKUP($D45,'Master Sheet'!$B:$AA,3,FALSE),"")</f>
        <v>EN-EL25A RECHARGEABLE LI-ION BATTERY</v>
      </c>
      <c r="H45" s="2"/>
      <c r="I45" s="2">
        <f>IFERROR(VLOOKUP($D45,'Master Sheet'!$B:$AA,2,FALSE),"")</f>
        <v>0</v>
      </c>
      <c r="J45" s="34" t="str">
        <f>IFERROR(VLOOKUP($D45,'Master Sheet'!$B:$AA,5,FALSE),"")</f>
        <v>No Barcode</v>
      </c>
      <c r="K45" s="35">
        <f>IFERROR(VLOOKUP($D45,'Master Sheet'!$B:$AA,8,FALSE),"")</f>
        <v>1574.9550000000002</v>
      </c>
      <c r="M45" s="9"/>
    </row>
    <row r="46" spans="1:13" ht="13.5" thickBot="1" x14ac:dyDescent="0.3">
      <c r="A46" s="10"/>
      <c r="B46" s="31"/>
      <c r="C46" s="31"/>
      <c r="D46" s="53"/>
      <c r="E46" s="33"/>
      <c r="F46" s="2"/>
      <c r="G46" s="17" t="str">
        <f>IFERROR(VLOOKUP($D46,'Master Sheet'!$B:$AA,3,FALSE),"")</f>
        <v/>
      </c>
      <c r="H46" s="2"/>
      <c r="I46" s="2" t="str">
        <f>IFERROR(VLOOKUP($D46,'Master Sheet'!$B:$AA,2,FALSE),"")</f>
        <v/>
      </c>
      <c r="J46" s="34" t="str">
        <f>IFERROR(VLOOKUP($D46,'Master Sheet'!$B:$AA,5,FALSE),"")</f>
        <v/>
      </c>
      <c r="K46" s="35" t="str">
        <f>IFERROR(VLOOKUP($D46,'Master Sheet'!$B:$AA,8,FALSE),"")</f>
        <v/>
      </c>
      <c r="M46" s="9"/>
    </row>
    <row r="47" spans="1:13" ht="13.5" thickBot="1" x14ac:dyDescent="0.3">
      <c r="A47" s="10"/>
      <c r="B47" s="31"/>
      <c r="C47" s="46" t="s">
        <v>29</v>
      </c>
      <c r="D47" s="49"/>
      <c r="E47" s="48"/>
      <c r="F47" s="47"/>
      <c r="G47" s="49"/>
      <c r="H47" s="47"/>
      <c r="I47" s="47"/>
      <c r="J47" s="61"/>
      <c r="K47" s="62"/>
      <c r="M47" s="9"/>
    </row>
    <row r="48" spans="1:13" x14ac:dyDescent="0.25">
      <c r="A48" s="10"/>
      <c r="B48" s="31"/>
      <c r="C48" s="31"/>
      <c r="D48" s="53" t="s">
        <v>86</v>
      </c>
      <c r="E48" s="33"/>
      <c r="F48" s="2"/>
      <c r="G48" s="17" t="str">
        <f>IFERROR(VLOOKUP($D48,'Master Sheet'!$B:$AA,3,FALSE),"")</f>
        <v>ML-L7 REMOTE CONTROL</v>
      </c>
      <c r="H48" s="2"/>
      <c r="I48" s="2" t="str">
        <f>IFERROR(VLOOKUP($D48,'Master Sheet'!$B:$AA,2,FALSE),"")</f>
        <v>VAJ57201</v>
      </c>
      <c r="J48" s="34" t="str">
        <f>IFERROR(VLOOKUP($D48,'Master Sheet'!$B:$AA,5,FALSE),"")</f>
        <v>018208259526</v>
      </c>
      <c r="K48" s="35">
        <f>IFERROR(VLOOKUP($D48,'Master Sheet'!$B:$AA,8,FALSE),"")</f>
        <v>800.95500000000004</v>
      </c>
      <c r="M48" s="9"/>
    </row>
    <row r="49" spans="1:13" ht="14.45" customHeight="1" x14ac:dyDescent="0.25">
      <c r="A49" s="10"/>
      <c r="B49" s="31"/>
      <c r="C49" s="31"/>
      <c r="D49" s="53" t="s">
        <v>619</v>
      </c>
      <c r="E49" s="33"/>
      <c r="F49" s="2"/>
      <c r="G49" s="17" t="str">
        <f>IFERROR(VLOOKUP($D49,'Master Sheet'!$B:$AA,3,FALSE),"")</f>
        <v>Nikon MC-N10 Remote Grip</v>
      </c>
      <c r="H49" s="2"/>
      <c r="I49" s="2" t="str">
        <f>IFERROR(VLOOKUP($D49,'Master Sheet'!$B:$AA,2,FALSE),"")</f>
        <v>VDR009AA</v>
      </c>
      <c r="J49" s="34" t="str">
        <f>IFERROR(VLOOKUP($D49,'Master Sheet'!$B:$AA,5,FALSE),"")</f>
        <v>018208272303</v>
      </c>
      <c r="K49" s="35">
        <f>IFERROR(VLOOKUP($D49,'Master Sheet'!$B:$AA,8,FALSE),"")</f>
        <v>9629.9550000000017</v>
      </c>
      <c r="M49" s="9"/>
    </row>
    <row r="50" spans="1:13" x14ac:dyDescent="0.25">
      <c r="A50" s="10"/>
      <c r="B50" s="31"/>
      <c r="C50" s="31"/>
      <c r="D50" s="53" t="s">
        <v>86</v>
      </c>
      <c r="E50" s="33"/>
      <c r="F50" s="2"/>
      <c r="G50" s="17" t="str">
        <f>IFERROR(VLOOKUP($D50,'Master Sheet'!$B:$AA,3,FALSE),"")</f>
        <v>ML-L7 REMOTE CONTROL</v>
      </c>
      <c r="H50" s="2"/>
      <c r="I50" s="2" t="str">
        <f>IFERROR(VLOOKUP($D50,'Master Sheet'!$B:$AA,2,FALSE),"")</f>
        <v>VAJ57201</v>
      </c>
      <c r="J50" s="34" t="str">
        <f>IFERROR(VLOOKUP($D50,'Master Sheet'!$B:$AA,5,FALSE),"")</f>
        <v>018208259526</v>
      </c>
      <c r="K50" s="35">
        <f>IFERROR(VLOOKUP($D50,'Master Sheet'!$B:$AA,8,FALSE),"")</f>
        <v>800.95500000000004</v>
      </c>
      <c r="M50" s="9"/>
    </row>
    <row r="51" spans="1:13" ht="13.5" thickBot="1" x14ac:dyDescent="0.3">
      <c r="A51" s="10"/>
      <c r="B51" s="31"/>
      <c r="C51" s="31"/>
      <c r="D51" s="53"/>
      <c r="E51" s="33"/>
      <c r="F51" s="2"/>
      <c r="G51" s="17" t="str">
        <f>IFERROR(VLOOKUP($D51,'Master Sheet'!$B:$AA,3,FALSE),"")</f>
        <v/>
      </c>
      <c r="H51" s="2"/>
      <c r="I51" s="2" t="str">
        <f>IFERROR(VLOOKUP($D51,'Master Sheet'!$B:$AA,2,FALSE),"")</f>
        <v/>
      </c>
      <c r="J51" s="34" t="str">
        <f>IFERROR(VLOOKUP($D51,'Master Sheet'!$B:$AA,5,FALSE),"")</f>
        <v/>
      </c>
      <c r="K51" s="35" t="str">
        <f>IFERROR(VLOOKUP($D51,'Master Sheet'!$B:$AA,8,FALSE),"")</f>
        <v/>
      </c>
      <c r="M51" s="9"/>
    </row>
    <row r="52" spans="1:13" ht="13.5" thickBot="1" x14ac:dyDescent="0.3">
      <c r="A52" s="10"/>
      <c r="B52" s="31"/>
      <c r="C52" s="46" t="s">
        <v>26</v>
      </c>
      <c r="D52" s="49"/>
      <c r="E52" s="48"/>
      <c r="F52" s="47"/>
      <c r="G52" s="49"/>
      <c r="H52" s="47"/>
      <c r="I52" s="47"/>
      <c r="J52" s="61"/>
      <c r="K52" s="62"/>
      <c r="M52" s="9"/>
    </row>
    <row r="53" spans="1:13" x14ac:dyDescent="0.25">
      <c r="A53" s="10"/>
      <c r="B53" s="31"/>
      <c r="C53" s="31"/>
      <c r="D53" s="53" t="s">
        <v>27</v>
      </c>
      <c r="E53" s="33"/>
      <c r="F53" s="2"/>
      <c r="G53" s="17" t="str">
        <f>IFERROR(VLOOKUP($D53,'Master Sheet'!$B:$AA,3,FALSE),"")</f>
        <v>ME-1 STEREO MICROPHONE</v>
      </c>
      <c r="H53" s="2"/>
      <c r="I53" s="2" t="str">
        <f>IFERROR(VLOOKUP($D53,'Master Sheet'!$B:$AA,2,FALSE),"")</f>
        <v>VBW30001</v>
      </c>
      <c r="J53" s="34" t="str">
        <f>IFERROR(VLOOKUP($D53,'Master Sheet'!$B:$AA,5,FALSE),"")</f>
        <v>018208270453</v>
      </c>
      <c r="K53" s="35">
        <f>IFERROR(VLOOKUP($D53,'Master Sheet'!$B:$AA,8,FALSE),"")</f>
        <v>3464.9549999999999</v>
      </c>
      <c r="M53" s="9"/>
    </row>
    <row r="54" spans="1:13" ht="13.5" thickBot="1" x14ac:dyDescent="0.3">
      <c r="A54" s="10"/>
      <c r="B54" s="31"/>
      <c r="C54" s="31"/>
      <c r="D54" s="53"/>
      <c r="E54" s="33"/>
      <c r="F54" s="2"/>
      <c r="G54" s="17" t="str">
        <f>IFERROR(VLOOKUP($D54,'Master Sheet'!$B:$AA,3,FALSE),"")</f>
        <v/>
      </c>
      <c r="H54" s="2"/>
      <c r="I54" s="2" t="str">
        <f>IFERROR(VLOOKUP($D54,'Master Sheet'!$B:$AA,2,FALSE),"")</f>
        <v/>
      </c>
      <c r="J54" s="34" t="str">
        <f>IFERROR(VLOOKUP($D54,'Master Sheet'!$B:$AA,5,FALSE),"")</f>
        <v/>
      </c>
      <c r="K54" s="35" t="str">
        <f>IFERROR(VLOOKUP($D54,'Master Sheet'!$B:$AA,8,FALSE),"")</f>
        <v/>
      </c>
      <c r="M54" s="9"/>
    </row>
    <row r="55" spans="1:13" ht="13.5" thickBot="1" x14ac:dyDescent="0.3">
      <c r="A55" s="10"/>
      <c r="B55" s="31"/>
      <c r="C55" s="46" t="s">
        <v>30</v>
      </c>
      <c r="D55" s="49"/>
      <c r="E55" s="48"/>
      <c r="F55" s="47"/>
      <c r="G55" s="49"/>
      <c r="H55" s="47"/>
      <c r="I55" s="47"/>
      <c r="J55" s="61"/>
      <c r="K55" s="62"/>
      <c r="M55" s="9"/>
    </row>
    <row r="56" spans="1:13" x14ac:dyDescent="0.25">
      <c r="A56" s="10"/>
      <c r="B56" s="31"/>
      <c r="C56" s="31"/>
      <c r="D56" s="53" t="s">
        <v>269</v>
      </c>
      <c r="E56" s="33"/>
      <c r="F56" s="2"/>
      <c r="G56" s="17" t="str">
        <f>IFERROR(VLOOKUP($D56,'Master Sheet'!$B:$AA,3,FALSE),"")</f>
        <v>USB Cable UC-E24</v>
      </c>
      <c r="H56" s="2"/>
      <c r="I56" s="2" t="str">
        <f>IFERROR(VLOOKUP($D56,'Master Sheet'!$B:$AA,2,FALSE),"")</f>
        <v>VDU10701</v>
      </c>
      <c r="J56" s="34" t="str">
        <f>IFERROR(VLOOKUP($D56,'Master Sheet'!$B:$AA,5,FALSE),"")</f>
        <v>018208042166</v>
      </c>
      <c r="K56" s="35">
        <f>IFERROR(VLOOKUP($D56,'Master Sheet'!$B:$AA,8,FALSE),"")</f>
        <v>512.95500000000004</v>
      </c>
      <c r="M56" s="9"/>
    </row>
    <row r="57" spans="1:13" x14ac:dyDescent="0.25">
      <c r="A57" s="10"/>
      <c r="B57" s="31"/>
      <c r="C57" s="31"/>
      <c r="D57" s="53" t="s">
        <v>270</v>
      </c>
      <c r="E57" s="33"/>
      <c r="F57" s="2"/>
      <c r="G57" s="17" t="str">
        <f>IFERROR(VLOOKUP($D57,'Master Sheet'!$B:$AA,3,FALSE),"")</f>
        <v>USB Cable UC-E25</v>
      </c>
      <c r="H57" s="2"/>
      <c r="I57" s="2" t="str">
        <f>IFERROR(VLOOKUP($D57,'Master Sheet'!$B:$AA,2,FALSE),"")</f>
        <v>VDU10801</v>
      </c>
      <c r="J57" s="34" t="str">
        <f>IFERROR(VLOOKUP($D57,'Master Sheet'!$B:$AA,5,FALSE),"")</f>
        <v>018208042234</v>
      </c>
      <c r="K57" s="35">
        <f>IFERROR(VLOOKUP($D57,'Master Sheet'!$B:$AA,8,FALSE),"")</f>
        <v>575.95500000000004</v>
      </c>
      <c r="M57" s="9"/>
    </row>
    <row r="58" spans="1:13" ht="13.5" thickBot="1" x14ac:dyDescent="0.3">
      <c r="A58" s="10"/>
      <c r="B58" s="31"/>
      <c r="C58" s="31"/>
      <c r="D58" s="53"/>
      <c r="E58" s="33"/>
      <c r="F58" s="2"/>
      <c r="G58" s="17" t="str">
        <f>IFERROR(VLOOKUP($D58,'Master Sheet'!$B:$AA,3,FALSE),"")</f>
        <v/>
      </c>
      <c r="H58" s="2"/>
      <c r="I58" s="2" t="str">
        <f>IFERROR(VLOOKUP($D58,'Master Sheet'!$B:$AA,2,FALSE),"")</f>
        <v/>
      </c>
      <c r="J58" s="34" t="str">
        <f>IFERROR(VLOOKUP($D58,'Master Sheet'!$B:$AA,5,FALSE),"")</f>
        <v/>
      </c>
      <c r="K58" s="35" t="str">
        <f>IFERROR(VLOOKUP($D58,'Master Sheet'!$B:$AA,8,FALSE),"")</f>
        <v/>
      </c>
      <c r="M58" s="9"/>
    </row>
    <row r="59" spans="1:13" ht="13.5" thickBot="1" x14ac:dyDescent="0.3">
      <c r="A59" s="10"/>
      <c r="B59" s="31"/>
      <c r="C59" s="46" t="s">
        <v>786</v>
      </c>
      <c r="D59" s="49"/>
      <c r="E59" s="48"/>
      <c r="F59" s="47"/>
      <c r="G59" s="49"/>
      <c r="H59" s="47"/>
      <c r="I59" s="47"/>
      <c r="J59" s="61"/>
      <c r="K59" s="62"/>
      <c r="M59" s="9"/>
    </row>
    <row r="60" spans="1:13" ht="25.5" x14ac:dyDescent="0.25">
      <c r="A60" s="10"/>
      <c r="B60" s="31"/>
      <c r="C60" s="31"/>
      <c r="D60" s="53" t="s">
        <v>783</v>
      </c>
      <c r="E60" s="33"/>
      <c r="F60" s="2"/>
      <c r="G60" s="17" t="str">
        <f>IFERROR(VLOOKUP($D60,'Master Sheet'!$B:$AA,3,FALSE),"")</f>
        <v>Nikon Shoulder Bag Black 0301-2204I - Black NIKON logo</v>
      </c>
      <c r="H60" s="2"/>
      <c r="I60" s="2">
        <f>IFERROR(VLOOKUP($D60,'Master Sheet'!$B:$AA,2,FALSE),"")</f>
        <v>0</v>
      </c>
      <c r="J60" s="34" t="str">
        <f>IFERROR(VLOOKUP($D60,'Master Sheet'!$B:$AA,5,FALSE),"")</f>
        <v>No Barcode</v>
      </c>
      <c r="K60" s="35">
        <f>IFERROR(VLOOKUP($D60,'Master Sheet'!$B:$AA,8,FALSE),"")</f>
        <v>296.95499999999998</v>
      </c>
      <c r="M60" s="9"/>
    </row>
    <row r="61" spans="1:13" x14ac:dyDescent="0.25">
      <c r="A61" s="10"/>
      <c r="B61" s="31"/>
      <c r="C61" s="31"/>
      <c r="D61" s="53"/>
      <c r="E61" s="33"/>
      <c r="F61" s="2"/>
      <c r="G61" s="17" t="str">
        <f>IFERROR(VLOOKUP($D61,'Master Sheet'!$B:$AA,3,FALSE),"")</f>
        <v/>
      </c>
      <c r="H61" s="2"/>
      <c r="I61" s="2" t="str">
        <f>IFERROR(VLOOKUP($D61,'Master Sheet'!$B:$AA,2,FALSE),"")</f>
        <v/>
      </c>
      <c r="J61" s="34" t="str">
        <f>IFERROR(VLOOKUP($D61,'Master Sheet'!$B:$AA,5,FALSE),"")</f>
        <v/>
      </c>
      <c r="K61" s="35" t="str">
        <f>IFERROR(VLOOKUP($D61,'Master Sheet'!$B:$AA,8,FALSE),"")</f>
        <v/>
      </c>
      <c r="M61" s="9"/>
    </row>
    <row r="62" spans="1:13" x14ac:dyDescent="0.25">
      <c r="A62" s="10"/>
      <c r="B62" s="33"/>
      <c r="C62" s="31"/>
      <c r="D62" s="53"/>
      <c r="E62" s="33"/>
      <c r="F62" s="2"/>
      <c r="G62" s="17" t="str">
        <f>IFERROR(VLOOKUP($D62,'Master Sheet'!$B:$AA,3,FALSE),"")</f>
        <v/>
      </c>
      <c r="H62" s="2"/>
      <c r="I62" s="2" t="str">
        <f>IFERROR(VLOOKUP($D62,'Master Sheet'!$B:$AA,2,FALSE),"")</f>
        <v/>
      </c>
      <c r="J62" s="34" t="str">
        <f>IFERROR(VLOOKUP($D62,'Master Sheet'!$B:$AA,5,FALSE),"")</f>
        <v/>
      </c>
      <c r="K62" s="35" t="str">
        <f>IFERROR(VLOOKUP($D62,'Master Sheet'!$B:$AA,8,FALSE),"")</f>
        <v/>
      </c>
      <c r="M62" s="9"/>
    </row>
    <row r="63" spans="1:13" x14ac:dyDescent="0.25">
      <c r="A63" s="10"/>
      <c r="B63" s="10"/>
      <c r="C63" s="10"/>
      <c r="D63" s="16"/>
      <c r="E63" s="10"/>
      <c r="F63" s="10"/>
      <c r="G63" s="50"/>
      <c r="H63" s="6"/>
      <c r="I63" s="6"/>
      <c r="J63" s="51"/>
      <c r="K63" s="52"/>
      <c r="L63" s="9"/>
      <c r="M63" s="9"/>
    </row>
  </sheetData>
  <mergeCells count="5">
    <mergeCell ref="D11:D12"/>
    <mergeCell ref="D14:D15"/>
    <mergeCell ref="D17:D18"/>
    <mergeCell ref="D20:D21"/>
    <mergeCell ref="G20:K20"/>
  </mergeCells>
  <phoneticPr fontId="10" type="noConversion"/>
  <pageMargins left="0.25" right="0.25" top="0.75" bottom="0.75" header="0.3" footer="0.3"/>
  <pageSetup paperSize="9" scale="76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12C7-E877-47AF-AA83-39BC831596AF}">
  <sheetPr>
    <pageSetUpPr fitToPage="1"/>
  </sheetPr>
  <dimension ref="A1:M54"/>
  <sheetViews>
    <sheetView showGridLines="0" showRowColHeaders="0" topLeftCell="A17" zoomScale="85" zoomScaleNormal="85" workbookViewId="0">
      <selection activeCell="K22" sqref="K22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53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69" t="s">
        <v>0</v>
      </c>
      <c r="D3" s="70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6"/>
      <c r="D4" s="58" t="s">
        <v>45</v>
      </c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69" t="s">
        <v>2</v>
      </c>
      <c r="D5" s="14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6"/>
      <c r="D6" s="58" t="s">
        <v>655</v>
      </c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69" t="s">
        <v>3</v>
      </c>
      <c r="D7" s="14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6"/>
      <c r="D8" s="58" t="s">
        <v>58</v>
      </c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6"/>
      <c r="D9" s="58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69" t="s">
        <v>4</v>
      </c>
      <c r="D10" s="14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58"/>
      <c r="D11" s="93" t="s">
        <v>656</v>
      </c>
      <c r="E11" s="36"/>
      <c r="F11" s="8"/>
      <c r="G11" s="22"/>
      <c r="H11" s="8"/>
      <c r="J11" s="34"/>
      <c r="K11" s="35"/>
      <c r="M11" s="9"/>
    </row>
    <row r="12" spans="1:13" ht="27.6" customHeight="1" x14ac:dyDescent="0.25">
      <c r="A12" s="10"/>
      <c r="B12" s="31"/>
      <c r="C12" s="58"/>
      <c r="D12" s="93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69" t="s">
        <v>5</v>
      </c>
      <c r="D13" s="14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6"/>
      <c r="D14" s="93" t="s">
        <v>657</v>
      </c>
      <c r="E14" s="36"/>
      <c r="F14" s="8"/>
      <c r="G14" s="22"/>
      <c r="H14" s="8"/>
      <c r="J14" s="34"/>
      <c r="K14" s="35"/>
      <c r="M14" s="9"/>
    </row>
    <row r="15" spans="1:13" x14ac:dyDescent="0.25">
      <c r="A15" s="10"/>
      <c r="B15" s="31"/>
      <c r="C15" s="36"/>
      <c r="D15" s="93"/>
      <c r="E15" s="36"/>
      <c r="F15" s="8"/>
      <c r="G15" s="22"/>
      <c r="H15" s="8"/>
      <c r="J15" s="34"/>
      <c r="K15" s="35"/>
      <c r="M15" s="9"/>
    </row>
    <row r="16" spans="1:13" x14ac:dyDescent="0.25">
      <c r="A16" s="10"/>
      <c r="B16" s="31"/>
      <c r="C16" s="69" t="s">
        <v>6</v>
      </c>
      <c r="D16" s="14"/>
      <c r="E16" s="36"/>
      <c r="F16" s="8"/>
      <c r="G16" s="22"/>
      <c r="H16" s="8"/>
      <c r="J16" s="34"/>
      <c r="K16" s="35"/>
      <c r="M16" s="9"/>
    </row>
    <row r="17" spans="1:13" x14ac:dyDescent="0.25">
      <c r="A17" s="10"/>
      <c r="B17" s="31"/>
      <c r="C17" s="36"/>
      <c r="D17" s="93" t="s">
        <v>57</v>
      </c>
      <c r="E17" s="36"/>
      <c r="F17" s="8"/>
      <c r="G17" s="22"/>
      <c r="H17" s="8"/>
      <c r="J17" s="34"/>
      <c r="K17" s="35"/>
      <c r="M17" s="9"/>
    </row>
    <row r="18" spans="1:13" x14ac:dyDescent="0.25">
      <c r="A18" s="10"/>
      <c r="B18" s="31"/>
      <c r="C18" s="36"/>
      <c r="D18" s="93"/>
      <c r="E18" s="36"/>
      <c r="F18" s="8"/>
      <c r="G18" s="22"/>
      <c r="H18" s="8"/>
      <c r="J18" s="34"/>
      <c r="K18" s="35"/>
      <c r="M18" s="9"/>
    </row>
    <row r="19" spans="1:13" ht="13.5" thickBot="1" x14ac:dyDescent="0.3">
      <c r="A19" s="10"/>
      <c r="B19" s="31"/>
      <c r="C19" s="69" t="s">
        <v>7</v>
      </c>
      <c r="D19" s="14"/>
      <c r="E19" s="36"/>
      <c r="F19" s="8"/>
      <c r="G19" s="22"/>
      <c r="H19" s="8"/>
      <c r="J19" s="34"/>
      <c r="K19" s="35"/>
      <c r="M19" s="9"/>
    </row>
    <row r="20" spans="1:13" ht="13.5" thickBot="1" x14ac:dyDescent="0.3">
      <c r="A20" s="10"/>
      <c r="B20" s="31"/>
      <c r="C20" s="36"/>
      <c r="D20" s="94" t="s">
        <v>793</v>
      </c>
      <c r="E20" s="36"/>
      <c r="F20" s="8"/>
      <c r="G20" s="90" t="s">
        <v>674</v>
      </c>
      <c r="H20" s="91"/>
      <c r="I20" s="91"/>
      <c r="J20" s="91"/>
      <c r="K20" s="92"/>
      <c r="M20" s="9"/>
    </row>
    <row r="21" spans="1:13" ht="13.5" thickBot="1" x14ac:dyDescent="0.3">
      <c r="A21" s="10"/>
      <c r="B21" s="31"/>
      <c r="C21" s="31"/>
      <c r="D21" s="95"/>
      <c r="E21" s="36"/>
      <c r="F21" s="8"/>
      <c r="G21" s="22"/>
      <c r="H21" s="8"/>
      <c r="J21" s="34"/>
      <c r="K21" s="35"/>
      <c r="M21" s="9"/>
    </row>
    <row r="22" spans="1:13" ht="13.5" thickBot="1" x14ac:dyDescent="0.3">
      <c r="A22" s="10"/>
      <c r="B22" s="31"/>
      <c r="C22" s="39" t="s">
        <v>48</v>
      </c>
      <c r="D22" s="60"/>
      <c r="E22" s="40"/>
      <c r="F22" s="55"/>
      <c r="G22" s="41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3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3" x14ac:dyDescent="0.25">
      <c r="A24" s="10"/>
      <c r="B24" s="31"/>
      <c r="C24" s="31"/>
      <c r="D24" s="53" t="s">
        <v>584</v>
      </c>
      <c r="E24" s="33"/>
      <c r="F24" s="2"/>
      <c r="G24" s="17" t="str">
        <f>IFERROR(VLOOKUP($D24,'Master Sheet'!$B:$AA,3,FALSE),"")</f>
        <v>Nikon Z30 Mirrorless Digital Camera (Body Only)</v>
      </c>
      <c r="H24" s="2"/>
      <c r="I24" s="2" t="str">
        <f>IFERROR(VLOOKUP($D24,'Master Sheet'!$B:$AA,2,FALSE),"")</f>
        <v>VOA110AM</v>
      </c>
      <c r="J24" s="34" t="str">
        <f>IFERROR(VLOOKUP($D24,'Master Sheet'!$B:$AA,5,FALSE),"")</f>
        <v>4960759913593</v>
      </c>
      <c r="K24" s="35">
        <f>IFERROR(VLOOKUP($D24,'Master Sheet'!$B:$AA,8,FALSE),"")</f>
        <v>13697.955000000002</v>
      </c>
      <c r="M24" s="9"/>
    </row>
    <row r="25" spans="1:13" ht="25.5" x14ac:dyDescent="0.25">
      <c r="A25" s="10"/>
      <c r="B25" s="31"/>
      <c r="C25" s="31"/>
      <c r="D25" s="53" t="s">
        <v>585</v>
      </c>
      <c r="E25" s="33"/>
      <c r="F25" s="2"/>
      <c r="G25" s="17" t="str">
        <f>IFERROR(VLOOKUP($D25,'Master Sheet'!$B:$AA,3,FALSE),"")</f>
        <v>Nikon Z30 Mirrorless Digital Camera +16-50MM f3.5-6.3 VR DX</v>
      </c>
      <c r="H25" s="2"/>
      <c r="I25" s="2">
        <f>IFERROR(VLOOKUP($D25,'Master Sheet'!$B:$AA,2,FALSE),"")</f>
        <v>0</v>
      </c>
      <c r="J25" s="34" t="str">
        <f>IFERROR(VLOOKUP($D25,'Master Sheet'!$B:$AA,5,FALSE),"")</f>
        <v>6009658263250</v>
      </c>
      <c r="K25" s="35">
        <f>IFERROR(VLOOKUP($D25,'Master Sheet'!$B:$AA,8,FALSE),"")</f>
        <v>16829.955000000002</v>
      </c>
      <c r="M25" s="9"/>
    </row>
    <row r="26" spans="1:13" ht="13.5" thickBot="1" x14ac:dyDescent="0.3">
      <c r="A26" s="10"/>
      <c r="B26" s="31"/>
      <c r="C26" s="31"/>
      <c r="D26" s="53"/>
      <c r="E26" s="33"/>
      <c r="F26" s="2"/>
      <c r="G26" s="17" t="str">
        <f>IFERROR(VLOOKUP($D26,'Master Sheet'!$B:$AA,3,FALSE),"")</f>
        <v/>
      </c>
      <c r="H26" s="2"/>
      <c r="I26" s="2" t="str">
        <f>IFERROR(VLOOKUP($D26,'Master Sheet'!$B:$AA,2,FALSE),"")</f>
        <v/>
      </c>
      <c r="J26" s="34" t="str">
        <f>IFERROR(VLOOKUP($D26,'Master Sheet'!$B:$AA,5,FALSE),"")</f>
        <v/>
      </c>
      <c r="K26" s="35" t="str">
        <f>IFERROR(VLOOKUP($D26,'Master Sheet'!$B:$AA,8,FALSE),"")</f>
        <v/>
      </c>
      <c r="M26" s="9"/>
    </row>
    <row r="27" spans="1:13" ht="13.5" thickBot="1" x14ac:dyDescent="0.3">
      <c r="A27" s="10"/>
      <c r="B27" s="31"/>
      <c r="C27" s="46" t="s">
        <v>31</v>
      </c>
      <c r="D27" s="49"/>
      <c r="E27" s="48"/>
      <c r="F27" s="47"/>
      <c r="G27" s="49"/>
      <c r="H27" s="47"/>
      <c r="I27" s="47"/>
      <c r="J27" s="61"/>
      <c r="K27" s="62"/>
      <c r="M27" s="9"/>
    </row>
    <row r="28" spans="1:13" x14ac:dyDescent="0.25">
      <c r="A28" s="10"/>
      <c r="B28" s="31"/>
      <c r="C28" s="31"/>
      <c r="D28" s="53" t="s">
        <v>435</v>
      </c>
      <c r="E28" s="33"/>
      <c r="F28" s="2"/>
      <c r="G28" s="17" t="str">
        <f>IFERROR(VLOOKUP($D28,'Master Sheet'!$B:$AA,3,FALSE),"")</f>
        <v>BF-N1 Body Cap (Z-Series)</v>
      </c>
      <c r="H28" s="2"/>
      <c r="I28" s="2" t="str">
        <f>IFERROR(VLOOKUP($D28,'Master Sheet'!$B:$AA,2,FALSE),"")</f>
        <v>VOD00101</v>
      </c>
      <c r="J28" s="34" t="str">
        <f>IFERROR(VLOOKUP($D28,'Master Sheet'!$B:$AA,5,FALSE),"")</f>
        <v>4960759901002</v>
      </c>
      <c r="K28" s="35">
        <f>IFERROR(VLOOKUP($D28,'Master Sheet'!$B:$AA,8,FALSE),"")</f>
        <v>116.955</v>
      </c>
      <c r="M28" s="9"/>
    </row>
    <row r="29" spans="1:13" ht="13.5" thickBot="1" x14ac:dyDescent="0.3">
      <c r="A29" s="10"/>
      <c r="B29" s="31"/>
      <c r="C29" s="31"/>
      <c r="D29" s="53"/>
      <c r="E29" s="33"/>
      <c r="F29" s="2"/>
      <c r="H29" s="2"/>
      <c r="J29" s="34"/>
      <c r="K29" s="35"/>
      <c r="M29" s="9"/>
    </row>
    <row r="30" spans="1:13" ht="13.5" thickBot="1" x14ac:dyDescent="0.3">
      <c r="A30" s="10"/>
      <c r="B30" s="31"/>
      <c r="C30" s="46" t="s">
        <v>641</v>
      </c>
      <c r="D30" s="49"/>
      <c r="E30" s="48"/>
      <c r="F30" s="47"/>
      <c r="G30" s="49"/>
      <c r="H30" s="47"/>
      <c r="I30" s="47"/>
      <c r="J30" s="61"/>
      <c r="K30" s="62"/>
      <c r="M30" s="9"/>
    </row>
    <row r="31" spans="1:13" x14ac:dyDescent="0.25">
      <c r="A31" s="10"/>
      <c r="B31" s="31"/>
      <c r="C31" s="31"/>
      <c r="D31" s="53" t="s">
        <v>481</v>
      </c>
      <c r="E31" s="33"/>
      <c r="F31" s="2"/>
      <c r="G31" s="17" t="str">
        <f>IFERROR(VLOOKUP($D31,'Master Sheet'!$B:$AA,3,FALSE),"")</f>
        <v>FTZ II Mount Adapter</v>
      </c>
      <c r="H31" s="2"/>
      <c r="I31" s="2" t="str">
        <f>IFERROR(VLOOKUP($D31,'Master Sheet'!$B:$AA,2,FALSE),"")</f>
        <v>JMA905DA</v>
      </c>
      <c r="J31" s="34" t="str">
        <f>IFERROR(VLOOKUP($D31,'Master Sheet'!$B:$AA,5,FALSE),"")</f>
        <v>018208042647</v>
      </c>
      <c r="K31" s="35">
        <f>IFERROR(VLOOKUP($D31,'Master Sheet'!$B:$AA,8,FALSE),"")</f>
        <v>4049.9549999999999</v>
      </c>
      <c r="M31" s="9"/>
    </row>
    <row r="32" spans="1:13" ht="13.5" thickBot="1" x14ac:dyDescent="0.3">
      <c r="A32" s="10"/>
      <c r="B32" s="31"/>
      <c r="C32" s="31"/>
      <c r="D32" s="53"/>
      <c r="E32" s="33"/>
      <c r="F32" s="2"/>
      <c r="G32" s="17" t="str">
        <f>IFERROR(VLOOKUP($D32,'Master Sheet'!$B:$AA,3,FALSE),"")</f>
        <v/>
      </c>
      <c r="H32" s="2"/>
      <c r="I32" s="2" t="str">
        <f>IFERROR(VLOOKUP($D32,'Master Sheet'!$B:$AA,2,FALSE),"")</f>
        <v/>
      </c>
      <c r="J32" s="34" t="str">
        <f>IFERROR(VLOOKUP($D32,'Master Sheet'!$B:$AA,5,FALSE),"")</f>
        <v/>
      </c>
      <c r="K32" s="35" t="str">
        <f>IFERROR(VLOOKUP($D32,'Master Sheet'!$B:$AA,8,FALSE),"")</f>
        <v/>
      </c>
      <c r="M32" s="9"/>
    </row>
    <row r="33" spans="1:13" ht="13.5" thickBot="1" x14ac:dyDescent="0.3">
      <c r="A33" s="10"/>
      <c r="B33" s="31"/>
      <c r="C33" s="46" t="s">
        <v>8</v>
      </c>
      <c r="D33" s="49"/>
      <c r="E33" s="48"/>
      <c r="F33" s="47"/>
      <c r="G33" s="49"/>
      <c r="H33" s="47"/>
      <c r="I33" s="47"/>
      <c r="J33" s="61"/>
      <c r="K33" s="62"/>
      <c r="M33" s="9"/>
    </row>
    <row r="34" spans="1:13" x14ac:dyDescent="0.25">
      <c r="A34" s="10"/>
      <c r="B34" s="31"/>
      <c r="C34" s="31"/>
      <c r="D34" s="53"/>
      <c r="E34" s="33"/>
      <c r="F34" s="2"/>
      <c r="G34" s="17" t="s">
        <v>649</v>
      </c>
      <c r="H34" s="2"/>
      <c r="I34" s="2" t="str">
        <f>IFERROR(VLOOKUP($D34,'Master Sheet'!$B:$AA,2,FALSE),"")</f>
        <v/>
      </c>
      <c r="J34" s="34" t="str">
        <f>IFERROR(VLOOKUP($D34,'Master Sheet'!$B:$AA,5,FALSE),"")</f>
        <v/>
      </c>
      <c r="K34" s="35" t="str">
        <f>IFERROR(VLOOKUP($D34,'Master Sheet'!$B:$AA,8,FALSE),"")</f>
        <v/>
      </c>
      <c r="M34" s="9"/>
    </row>
    <row r="35" spans="1:13" ht="13.5" thickBot="1" x14ac:dyDescent="0.3">
      <c r="A35" s="10"/>
      <c r="B35" s="31"/>
      <c r="C35" s="31"/>
      <c r="D35" s="53"/>
      <c r="E35" s="33"/>
      <c r="F35" s="2"/>
      <c r="G35" s="17" t="str">
        <f>IFERROR(VLOOKUP($D35,'Master Sheet'!$B:$AA,3,FALSE),"")</f>
        <v/>
      </c>
      <c r="H35" s="2"/>
      <c r="I35" s="2" t="str">
        <f>IFERROR(VLOOKUP($D35,'Master Sheet'!$B:$AA,2,FALSE),"")</f>
        <v/>
      </c>
      <c r="J35" s="34" t="str">
        <f>IFERROR(VLOOKUP($D35,'Master Sheet'!$B:$AA,5,FALSE),"")</f>
        <v/>
      </c>
      <c r="K35" s="35" t="str">
        <f>IFERROR(VLOOKUP($D35,'Master Sheet'!$B:$AA,8,FALSE),"")</f>
        <v/>
      </c>
      <c r="M35" s="9"/>
    </row>
    <row r="36" spans="1:13" ht="13.5" thickBot="1" x14ac:dyDescent="0.3">
      <c r="A36" s="10"/>
      <c r="B36" s="31"/>
      <c r="C36" s="46" t="s">
        <v>9</v>
      </c>
      <c r="D36" s="49"/>
      <c r="E36" s="48"/>
      <c r="F36" s="47"/>
      <c r="G36" s="49"/>
      <c r="H36" s="47"/>
      <c r="I36" s="47"/>
      <c r="J36" s="61"/>
      <c r="K36" s="62"/>
      <c r="M36" s="9"/>
    </row>
    <row r="37" spans="1:13" x14ac:dyDescent="0.25">
      <c r="A37" s="10"/>
      <c r="B37" s="31"/>
      <c r="C37" s="31"/>
      <c r="D37" s="53"/>
      <c r="E37" s="33"/>
      <c r="F37" s="2"/>
      <c r="G37" s="17" t="s">
        <v>650</v>
      </c>
      <c r="H37" s="2"/>
      <c r="I37" s="2" t="str">
        <f>IFERROR(VLOOKUP($D37,'Master Sheet'!$B:$AA,2,FALSE),"")</f>
        <v/>
      </c>
      <c r="J37" s="34" t="str">
        <f>IFERROR(VLOOKUP($D37,'Master Sheet'!$B:$AA,5,FALSE),"")</f>
        <v/>
      </c>
      <c r="K37" s="35" t="str">
        <f>IFERROR(VLOOKUP($D37,'Master Sheet'!$B:$AA,8,FALSE),"")</f>
        <v/>
      </c>
      <c r="M37" s="9"/>
    </row>
    <row r="38" spans="1:13" ht="13.5" thickBot="1" x14ac:dyDescent="0.3">
      <c r="A38" s="10"/>
      <c r="B38" s="31"/>
      <c r="C38" s="31"/>
      <c r="D38" s="53"/>
      <c r="E38" s="33"/>
      <c r="F38" s="2"/>
      <c r="G38" s="17" t="str">
        <f>IFERROR(VLOOKUP($D38,'Master Sheet'!$B:$AA,3,FALSE),"")</f>
        <v/>
      </c>
      <c r="H38" s="2"/>
      <c r="I38" s="2" t="str">
        <f>IFERROR(VLOOKUP($D38,'Master Sheet'!$B:$AA,2,FALSE),"")</f>
        <v/>
      </c>
      <c r="J38" s="34" t="str">
        <f>IFERROR(VLOOKUP($D38,'Master Sheet'!$B:$AA,5,FALSE),"")</f>
        <v/>
      </c>
      <c r="K38" s="35" t="str">
        <f>IFERROR(VLOOKUP($D38,'Master Sheet'!$B:$AA,8,FALSE),"")</f>
        <v/>
      </c>
      <c r="M38" s="9"/>
    </row>
    <row r="39" spans="1:13" ht="13.5" thickBot="1" x14ac:dyDescent="0.3">
      <c r="A39" s="10"/>
      <c r="B39" s="31"/>
      <c r="C39" s="46" t="s">
        <v>23</v>
      </c>
      <c r="D39" s="49"/>
      <c r="E39" s="48"/>
      <c r="F39" s="47"/>
      <c r="G39" s="49"/>
      <c r="H39" s="47"/>
      <c r="I39" s="47"/>
      <c r="J39" s="61"/>
      <c r="K39" s="62"/>
      <c r="M39" s="9"/>
    </row>
    <row r="40" spans="1:13" x14ac:dyDescent="0.25">
      <c r="A40" s="10"/>
      <c r="B40" s="31"/>
      <c r="C40" s="31"/>
      <c r="D40" s="53" t="s">
        <v>897</v>
      </c>
      <c r="E40" s="33"/>
      <c r="F40" s="2"/>
      <c r="G40" s="17" t="str">
        <f>IFERROR(VLOOKUP($D40,'Master Sheet'!$B:$AA,3,FALSE),"")</f>
        <v>MH-32 Battery Charger</v>
      </c>
      <c r="H40" s="2"/>
      <c r="I40" s="2" t="str">
        <f>IFERROR(VLOOKUP($D40,'Master Sheet'!$B:$AA,2,FALSE),"")</f>
        <v>VEA024EB</v>
      </c>
      <c r="J40" s="34" t="str">
        <f>IFERROR(VLOOKUP($D40,'Master Sheet'!$B:$AA,5,FALSE),"")</f>
        <v>4960759904300</v>
      </c>
      <c r="K40" s="35">
        <f>IFERROR(VLOOKUP($D40,'Master Sheet'!$B:$AA,8,FALSE),"")</f>
        <v>917.95500000000004</v>
      </c>
      <c r="M40" s="9"/>
    </row>
    <row r="41" spans="1:13" x14ac:dyDescent="0.25">
      <c r="A41" s="10"/>
      <c r="B41" s="31"/>
      <c r="C41" s="31"/>
      <c r="D41" s="53" t="s">
        <v>82</v>
      </c>
      <c r="E41" s="33"/>
      <c r="F41" s="2"/>
      <c r="G41" s="17" t="str">
        <f>IFERROR(VLOOKUP($D41,'Master Sheet'!$B:$AA,3,FALSE),"")</f>
        <v>EN-EL25 RECHARGEABLE LI-ION BATTERY</v>
      </c>
      <c r="H41" s="2"/>
      <c r="I41" s="2" t="str">
        <f>IFERROR(VLOOKUP($D41,'Master Sheet'!$B:$AA,2,FALSE),"")</f>
        <v>VFB12502</v>
      </c>
      <c r="J41" s="34" t="str">
        <f>IFERROR(VLOOKUP($D41,'Master Sheet'!$B:$AA,5,FALSE),"")</f>
        <v>4960759903976</v>
      </c>
      <c r="K41" s="35">
        <f>IFERROR(VLOOKUP($D41,'Master Sheet'!$B:$AA,8,FALSE),"")</f>
        <v>1574.9550000000002</v>
      </c>
      <c r="M41" s="9"/>
    </row>
    <row r="42" spans="1:13" ht="13.5" thickBot="1" x14ac:dyDescent="0.3">
      <c r="A42" s="10"/>
      <c r="B42" s="31"/>
      <c r="C42" s="31"/>
      <c r="D42" s="53"/>
      <c r="E42" s="33"/>
      <c r="F42" s="2"/>
      <c r="G42" s="17" t="str">
        <f>IFERROR(VLOOKUP($D42,'Master Sheet'!$B:$AA,3,FALSE),"")</f>
        <v/>
      </c>
      <c r="H42" s="2"/>
      <c r="I42" s="2" t="str">
        <f>IFERROR(VLOOKUP($D42,'Master Sheet'!$B:$AA,2,FALSE),"")</f>
        <v/>
      </c>
      <c r="J42" s="34" t="str">
        <f>IFERROR(VLOOKUP($D42,'Master Sheet'!$B:$AA,5,FALSE),"")</f>
        <v/>
      </c>
      <c r="K42" s="35" t="str">
        <f>IFERROR(VLOOKUP($D42,'Master Sheet'!$B:$AA,8,FALSE),"")</f>
        <v/>
      </c>
      <c r="M42" s="9"/>
    </row>
    <row r="43" spans="1:13" ht="13.5" thickBot="1" x14ac:dyDescent="0.3">
      <c r="A43" s="10"/>
      <c r="B43" s="31"/>
      <c r="C43" s="46" t="s">
        <v>29</v>
      </c>
      <c r="D43" s="49"/>
      <c r="E43" s="48"/>
      <c r="F43" s="47"/>
      <c r="G43" s="49"/>
      <c r="H43" s="47"/>
      <c r="I43" s="47"/>
      <c r="J43" s="61"/>
      <c r="K43" s="62"/>
      <c r="M43" s="9"/>
    </row>
    <row r="44" spans="1:13" x14ac:dyDescent="0.25">
      <c r="A44" s="10"/>
      <c r="B44" s="31"/>
      <c r="C44" s="31"/>
      <c r="D44" s="53" t="s">
        <v>86</v>
      </c>
      <c r="E44" s="33"/>
      <c r="F44" s="2"/>
      <c r="G44" s="17" t="str">
        <f>IFERROR(VLOOKUP($D44,'Master Sheet'!$B:$AA,3,FALSE),"")</f>
        <v>ML-L7 REMOTE CONTROL</v>
      </c>
      <c r="H44" s="2"/>
      <c r="I44" s="2" t="str">
        <f>IFERROR(VLOOKUP($D44,'Master Sheet'!$B:$AA,2,FALSE),"")</f>
        <v>VAJ57201</v>
      </c>
      <c r="J44" s="34" t="str">
        <f>IFERROR(VLOOKUP($D44,'Master Sheet'!$B:$AA,5,FALSE),"")</f>
        <v>018208259526</v>
      </c>
      <c r="K44" s="35">
        <f>IFERROR(VLOOKUP($D44,'Master Sheet'!$B:$AA,8,FALSE),"")</f>
        <v>800.95500000000004</v>
      </c>
      <c r="M44" s="9"/>
    </row>
    <row r="45" spans="1:13" ht="13.5" thickBot="1" x14ac:dyDescent="0.3">
      <c r="A45" s="10"/>
      <c r="B45" s="31"/>
      <c r="C45" s="31"/>
      <c r="D45" s="53"/>
      <c r="E45" s="33"/>
      <c r="F45" s="2"/>
      <c r="G45" s="17" t="str">
        <f>IFERROR(VLOOKUP($D45,'Master Sheet'!$B:$AA,3,FALSE),"")</f>
        <v/>
      </c>
      <c r="H45" s="2"/>
      <c r="I45" s="2" t="str">
        <f>IFERROR(VLOOKUP($D45,'Master Sheet'!$B:$AA,2,FALSE),"")</f>
        <v/>
      </c>
      <c r="J45" s="34" t="str">
        <f>IFERROR(VLOOKUP($D45,'Master Sheet'!$B:$AA,5,FALSE),"")</f>
        <v/>
      </c>
      <c r="K45" s="35" t="str">
        <f>IFERROR(VLOOKUP($D45,'Master Sheet'!$B:$AA,8,FALSE),"")</f>
        <v/>
      </c>
      <c r="M45" s="9"/>
    </row>
    <row r="46" spans="1:13" ht="13.5" thickBot="1" x14ac:dyDescent="0.3">
      <c r="A46" s="10"/>
      <c r="B46" s="31"/>
      <c r="C46" s="46" t="s">
        <v>30</v>
      </c>
      <c r="D46" s="49"/>
      <c r="E46" s="48"/>
      <c r="F46" s="47"/>
      <c r="G46" s="49"/>
      <c r="H46" s="47"/>
      <c r="I46" s="47"/>
      <c r="J46" s="61"/>
      <c r="K46" s="62"/>
      <c r="M46" s="9"/>
    </row>
    <row r="47" spans="1:13" x14ac:dyDescent="0.25">
      <c r="A47" s="10"/>
      <c r="B47" s="31"/>
      <c r="C47" s="31"/>
      <c r="D47" s="53" t="s">
        <v>269</v>
      </c>
      <c r="E47" s="33"/>
      <c r="F47" s="2"/>
      <c r="G47" s="17" t="str">
        <f>IFERROR(VLOOKUP($D47,'Master Sheet'!$B:$AA,3,FALSE),"")</f>
        <v>USB Cable UC-E24</v>
      </c>
      <c r="H47" s="2"/>
      <c r="I47" s="2" t="str">
        <f>IFERROR(VLOOKUP($D47,'Master Sheet'!$B:$AA,2,FALSE),"")</f>
        <v>VDU10701</v>
      </c>
      <c r="J47" s="34" t="str">
        <f>IFERROR(VLOOKUP($D47,'Master Sheet'!$B:$AA,5,FALSE),"")</f>
        <v>018208042166</v>
      </c>
      <c r="K47" s="35">
        <f>IFERROR(VLOOKUP($D47,'Master Sheet'!$B:$AA,8,FALSE),"")</f>
        <v>512.95500000000004</v>
      </c>
      <c r="M47" s="9"/>
    </row>
    <row r="48" spans="1:13" x14ac:dyDescent="0.25">
      <c r="A48" s="10"/>
      <c r="B48" s="31"/>
      <c r="C48" s="31"/>
      <c r="D48" s="53" t="s">
        <v>270</v>
      </c>
      <c r="E48" s="33"/>
      <c r="F48" s="2"/>
      <c r="G48" s="17" t="str">
        <f>IFERROR(VLOOKUP($D48,'Master Sheet'!$B:$AA,3,FALSE),"")</f>
        <v>USB Cable UC-E25</v>
      </c>
      <c r="H48" s="2"/>
      <c r="I48" s="2" t="str">
        <f>IFERROR(VLOOKUP($D48,'Master Sheet'!$B:$AA,2,FALSE),"")</f>
        <v>VDU10801</v>
      </c>
      <c r="J48" s="34" t="str">
        <f>IFERROR(VLOOKUP($D48,'Master Sheet'!$B:$AA,5,FALSE),"")</f>
        <v>018208042234</v>
      </c>
      <c r="K48" s="35">
        <f>IFERROR(VLOOKUP($D48,'Master Sheet'!$B:$AA,8,FALSE),"")</f>
        <v>575.95500000000004</v>
      </c>
      <c r="M48" s="9"/>
    </row>
    <row r="49" spans="1:13" ht="13.5" thickBot="1" x14ac:dyDescent="0.3">
      <c r="A49" s="10"/>
      <c r="B49" s="31"/>
      <c r="C49" s="31"/>
      <c r="D49" s="53"/>
      <c r="E49" s="33"/>
      <c r="F49" s="2"/>
      <c r="G49" s="17" t="str">
        <f>IFERROR(VLOOKUP($D49,'Master Sheet'!$B:$AA,3,FALSE),"")</f>
        <v/>
      </c>
      <c r="H49" s="2"/>
      <c r="I49" s="2" t="str">
        <f>IFERROR(VLOOKUP($D49,'Master Sheet'!$B:$AA,2,FALSE),"")</f>
        <v/>
      </c>
      <c r="J49" s="34" t="str">
        <f>IFERROR(VLOOKUP($D49,'Master Sheet'!$B:$AA,5,FALSE),"")</f>
        <v/>
      </c>
      <c r="K49" s="35" t="str">
        <f>IFERROR(VLOOKUP($D49,'Master Sheet'!$B:$AA,8,FALSE),"")</f>
        <v/>
      </c>
      <c r="M49" s="9"/>
    </row>
    <row r="50" spans="1:13" ht="13.5" thickBot="1" x14ac:dyDescent="0.3">
      <c r="A50" s="10"/>
      <c r="B50" s="31"/>
      <c r="C50" s="46" t="s">
        <v>786</v>
      </c>
      <c r="D50" s="49"/>
      <c r="E50" s="48"/>
      <c r="F50" s="47"/>
      <c r="G50" s="49"/>
      <c r="H50" s="47"/>
      <c r="I50" s="47"/>
      <c r="J50" s="61"/>
      <c r="K50" s="62"/>
      <c r="M50" s="9"/>
    </row>
    <row r="51" spans="1:13" ht="25.5" x14ac:dyDescent="0.25">
      <c r="A51" s="10"/>
      <c r="B51" s="31"/>
      <c r="C51" s="31"/>
      <c r="D51" s="53" t="s">
        <v>783</v>
      </c>
      <c r="E51" s="33"/>
      <c r="F51" s="2"/>
      <c r="G51" s="17" t="str">
        <f>IFERROR(VLOOKUP($D51,'Master Sheet'!$B:$AA,3,FALSE),"")</f>
        <v>Nikon Shoulder Bag Black 0301-2204I - Black NIKON logo</v>
      </c>
      <c r="H51" s="2"/>
      <c r="I51" s="2">
        <f>IFERROR(VLOOKUP($D51,'Master Sheet'!$B:$AA,2,FALSE),"")</f>
        <v>0</v>
      </c>
      <c r="J51" s="34" t="str">
        <f>IFERROR(VLOOKUP($D51,'Master Sheet'!$B:$AA,5,FALSE),"")</f>
        <v>No Barcode</v>
      </c>
      <c r="K51" s="35">
        <f>IFERROR(VLOOKUP($D51,'Master Sheet'!$B:$AA,8,FALSE),"")</f>
        <v>296.95499999999998</v>
      </c>
      <c r="M51" s="9"/>
    </row>
    <row r="52" spans="1:13" x14ac:dyDescent="0.25">
      <c r="A52" s="10"/>
      <c r="B52" s="31"/>
      <c r="C52" s="31"/>
      <c r="D52" s="53"/>
      <c r="E52" s="33"/>
      <c r="F52" s="2"/>
      <c r="G52" s="17" t="str">
        <f>IFERROR(VLOOKUP($D52,'Master Sheet'!$B:$AA,3,FALSE),"")</f>
        <v/>
      </c>
      <c r="H52" s="2"/>
      <c r="I52" s="2" t="str">
        <f>IFERROR(VLOOKUP($D52,'Master Sheet'!$B:$AA,2,FALSE),"")</f>
        <v/>
      </c>
      <c r="J52" s="34" t="str">
        <f>IFERROR(VLOOKUP($D52,'Master Sheet'!$B:$AA,5,FALSE),"")</f>
        <v/>
      </c>
      <c r="K52" s="35" t="str">
        <f>IFERROR(VLOOKUP($D52,'Master Sheet'!$B:$AA,8,FALSE),"")</f>
        <v/>
      </c>
      <c r="M52" s="9"/>
    </row>
    <row r="53" spans="1:13" x14ac:dyDescent="0.25">
      <c r="A53" s="10"/>
      <c r="B53" s="33"/>
      <c r="C53" s="31"/>
      <c r="D53" s="53"/>
      <c r="E53" s="33"/>
      <c r="F53" s="2"/>
      <c r="G53" s="17" t="str">
        <f>IFERROR(VLOOKUP($D53,'Master Sheet'!$B:$AA,3,FALSE),"")</f>
        <v/>
      </c>
      <c r="H53" s="2"/>
      <c r="I53" s="2" t="str">
        <f>IFERROR(VLOOKUP($D53,'Master Sheet'!$B:$AA,2,FALSE),"")</f>
        <v/>
      </c>
      <c r="J53" s="34" t="str">
        <f>IFERROR(VLOOKUP($D53,'Master Sheet'!$B:$AA,5,FALSE),"")</f>
        <v/>
      </c>
      <c r="K53" s="35" t="str">
        <f>IFERROR(VLOOKUP($D53,'Master Sheet'!$B:$AA,8,FALSE),"")</f>
        <v/>
      </c>
      <c r="M53" s="9"/>
    </row>
    <row r="54" spans="1:13" x14ac:dyDescent="0.25">
      <c r="A54" s="10"/>
      <c r="B54" s="10"/>
      <c r="C54" s="10"/>
      <c r="D54" s="16"/>
      <c r="E54" s="10"/>
      <c r="F54" s="10"/>
      <c r="G54" s="50"/>
      <c r="H54" s="6"/>
      <c r="I54" s="6"/>
      <c r="J54" s="51"/>
      <c r="K54" s="52"/>
      <c r="L54" s="9"/>
      <c r="M54" s="9"/>
    </row>
  </sheetData>
  <mergeCells count="5">
    <mergeCell ref="D11:D12"/>
    <mergeCell ref="D14:D15"/>
    <mergeCell ref="D17:D18"/>
    <mergeCell ref="G20:K20"/>
    <mergeCell ref="D20:D21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67FF-6275-45A2-A584-4AC72458C70D}">
  <sheetPr>
    <pageSetUpPr fitToPage="1"/>
  </sheetPr>
  <dimension ref="A1:M135"/>
  <sheetViews>
    <sheetView showGridLines="0" showRowColHeaders="0" topLeftCell="A91" zoomScale="85" zoomScaleNormal="85" workbookViewId="0">
      <selection activeCell="K91" sqref="K91"/>
    </sheetView>
  </sheetViews>
  <sheetFormatPr defaultColWidth="8.85546875" defaultRowHeight="12.75" x14ac:dyDescent="0.25"/>
  <cols>
    <col min="1" max="3" width="3.42578125" style="5" customWidth="1"/>
    <col min="4" max="4" width="16.85546875" style="2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11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32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31"/>
      <c r="D3" s="32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32"/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31"/>
      <c r="D5" s="32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32"/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31"/>
      <c r="D7" s="32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1"/>
      <c r="D8" s="32"/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32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31"/>
      <c r="D10" s="32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31"/>
      <c r="D11" s="32"/>
      <c r="E11" s="36"/>
      <c r="F11" s="8"/>
      <c r="G11" s="22"/>
      <c r="H11" s="8"/>
      <c r="J11" s="34"/>
      <c r="K11" s="35"/>
      <c r="M11" s="9"/>
    </row>
    <row r="12" spans="1:13" x14ac:dyDescent="0.25">
      <c r="A12" s="10"/>
      <c r="B12" s="31"/>
      <c r="C12" s="31"/>
      <c r="D12" s="32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31"/>
      <c r="D13" s="32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32"/>
      <c r="E14" s="36"/>
      <c r="F14" s="8"/>
      <c r="G14" s="22"/>
      <c r="H14" s="8"/>
      <c r="J14" s="34"/>
      <c r="K14" s="35"/>
      <c r="M14" s="9"/>
    </row>
    <row r="15" spans="1:13" ht="13.5" thickBot="1" x14ac:dyDescent="0.3">
      <c r="A15" s="10"/>
      <c r="B15" s="31"/>
      <c r="C15" s="31"/>
      <c r="D15" s="32"/>
      <c r="E15" s="36"/>
      <c r="F15" s="8"/>
      <c r="G15" s="22"/>
      <c r="H15" s="8"/>
      <c r="J15" s="34"/>
      <c r="K15" s="35"/>
      <c r="M15" s="9"/>
    </row>
    <row r="16" spans="1:13" ht="15" customHeight="1" thickBot="1" x14ac:dyDescent="0.3">
      <c r="A16" s="10"/>
      <c r="B16" s="31"/>
      <c r="C16" s="31"/>
      <c r="D16" s="32"/>
      <c r="E16" s="36"/>
      <c r="F16" s="8"/>
      <c r="G16" s="96" t="s">
        <v>224</v>
      </c>
      <c r="H16" s="97"/>
      <c r="I16" s="97"/>
      <c r="J16" s="97"/>
      <c r="K16" s="98"/>
      <c r="M16" s="9"/>
    </row>
    <row r="17" spans="1:13" ht="13.5" thickBot="1" x14ac:dyDescent="0.3">
      <c r="A17" s="10"/>
      <c r="B17" s="31"/>
      <c r="C17" s="31"/>
      <c r="D17" s="38"/>
      <c r="E17" s="36"/>
      <c r="F17" s="8"/>
      <c r="G17" s="22"/>
      <c r="H17" s="8"/>
      <c r="J17" s="34"/>
      <c r="K17" s="35"/>
      <c r="M17" s="9"/>
    </row>
    <row r="18" spans="1:13" ht="13.5" thickBot="1" x14ac:dyDescent="0.3">
      <c r="A18" s="10"/>
      <c r="B18" s="31"/>
      <c r="C18" s="39" t="s">
        <v>48</v>
      </c>
      <c r="D18" s="40"/>
      <c r="E18" s="40"/>
      <c r="F18" s="55"/>
      <c r="G18" s="41" t="s">
        <v>643</v>
      </c>
      <c r="H18" s="55"/>
      <c r="I18" s="42" t="s">
        <v>52</v>
      </c>
      <c r="J18" s="43" t="s">
        <v>47</v>
      </c>
      <c r="K18" s="56" t="s">
        <v>943</v>
      </c>
      <c r="M18" s="9"/>
    </row>
    <row r="19" spans="1:13" ht="13.5" thickBot="1" x14ac:dyDescent="0.3">
      <c r="A19" s="10"/>
      <c r="B19" s="31"/>
      <c r="C19" s="31"/>
      <c r="D19" s="32"/>
      <c r="E19" s="33"/>
      <c r="F19" s="2"/>
      <c r="H19" s="2"/>
      <c r="J19" s="34"/>
      <c r="K19" s="35"/>
      <c r="M19" s="9"/>
    </row>
    <row r="20" spans="1:13" ht="13.5" thickBot="1" x14ac:dyDescent="0.3">
      <c r="A20" s="10"/>
      <c r="B20" s="31"/>
      <c r="C20" s="46"/>
      <c r="D20" s="47" t="s">
        <v>302</v>
      </c>
      <c r="E20" s="48"/>
      <c r="F20" s="47"/>
      <c r="G20" s="49"/>
      <c r="H20" s="47"/>
      <c r="I20" s="64" t="s">
        <v>245</v>
      </c>
      <c r="J20" s="61"/>
      <c r="K20" s="62"/>
      <c r="M20" s="9"/>
    </row>
    <row r="21" spans="1:13" x14ac:dyDescent="0.25">
      <c r="A21" s="10"/>
      <c r="B21" s="31"/>
      <c r="C21" s="31"/>
      <c r="D21" s="32" t="s">
        <v>106</v>
      </c>
      <c r="E21" s="33"/>
      <c r="F21" s="2"/>
      <c r="G21" s="17" t="str">
        <f>IFERROR(VLOOKUP($D21,'Master Sheet'!$B:$AA,3,FALSE),"")</f>
        <v>Nikon NIKKOR Z 20mm F1.8 Z S Lens</v>
      </c>
      <c r="H21" s="2"/>
      <c r="I21" s="2" t="str">
        <f>IFERROR(VLOOKUP($D21,'Master Sheet'!$B:$AA,2,FALSE),"")</f>
        <v>JMA104DA</v>
      </c>
      <c r="J21" s="34" t="str">
        <f>IFERROR(VLOOKUP($D21,'Master Sheet'!$B:$AA,5,FALSE),"")</f>
        <v>018208200931</v>
      </c>
      <c r="K21" s="35">
        <f>IFERROR(VLOOKUP($D21,'Master Sheet'!$B:$AA,8,FALSE),"")</f>
        <v>19565.955000000002</v>
      </c>
      <c r="M21" s="9"/>
    </row>
    <row r="22" spans="1:13" x14ac:dyDescent="0.25">
      <c r="A22" s="10"/>
      <c r="B22" s="31"/>
      <c r="C22" s="31"/>
      <c r="D22" s="32" t="s">
        <v>535</v>
      </c>
      <c r="E22" s="33"/>
      <c r="F22" s="2"/>
      <c r="G22" s="17" t="str">
        <f>IFERROR(VLOOKUP($D22,'Master Sheet'!$B:$AA,3,FALSE),"")</f>
        <v>77mm Z-Series Lens Cap</v>
      </c>
      <c r="H22" s="2"/>
      <c r="I22" s="2" t="str">
        <f>IFERROR(VLOOKUP($D22,'Master Sheet'!$B:$AA,2,FALSE),"")</f>
        <v>JMD00801</v>
      </c>
      <c r="J22" s="34" t="str">
        <f>IFERROR(VLOOKUP($D22,'Master Sheet'!$B:$AA,5,FALSE),"")</f>
        <v>4960759902238</v>
      </c>
      <c r="K22" s="35">
        <f>IFERROR(VLOOKUP($D22,'Master Sheet'!$B:$AA,8,FALSE),"")</f>
        <v>233.95499999999998</v>
      </c>
      <c r="M22" s="9"/>
    </row>
    <row r="23" spans="1:13" x14ac:dyDescent="0.25">
      <c r="A23" s="10"/>
      <c r="B23" s="31"/>
      <c r="C23" s="31"/>
      <c r="D23" s="32" t="s">
        <v>528</v>
      </c>
      <c r="E23" s="33"/>
      <c r="F23" s="2"/>
      <c r="G23" s="17" t="str">
        <f>IFERROR(VLOOKUP($D23,'Master Sheet'!$B:$AA,3,FALSE),"")</f>
        <v>LF-N1 Rear Lens Cap (Z-Series)</v>
      </c>
      <c r="H23" s="2"/>
      <c r="I23" s="2" t="str">
        <f>IFERROR(VLOOKUP($D23,'Master Sheet'!$B:$AA,2,FALSE),"")</f>
        <v>JMD00101</v>
      </c>
      <c r="J23" s="34" t="str">
        <f>IFERROR(VLOOKUP($D23,'Master Sheet'!$B:$AA,5,FALSE),"")</f>
        <v>018208041824</v>
      </c>
      <c r="K23" s="35">
        <f>IFERROR(VLOOKUP($D23,'Master Sheet'!$B:$AA,8,FALSE),"")</f>
        <v>107.955</v>
      </c>
      <c r="M23" s="9"/>
    </row>
    <row r="24" spans="1:13" x14ac:dyDescent="0.25">
      <c r="A24" s="10"/>
      <c r="B24" s="31"/>
      <c r="C24" s="31"/>
      <c r="D24" s="32" t="s">
        <v>63</v>
      </c>
      <c r="E24" s="33"/>
      <c r="F24" s="2"/>
      <c r="G24" s="17" t="str">
        <f>IFERROR(VLOOKUP($D24,'Master Sheet'!$B:$AA,3,FALSE),"")</f>
        <v>77MM FILTER NC NEUTRAL COLOUR</v>
      </c>
      <c r="H24" s="2"/>
      <c r="I24" s="2" t="str">
        <f>IFERROR(VLOOKUP($D24,'Master Sheet'!$B:$AA,2,FALSE),"")</f>
        <v>FTA60801</v>
      </c>
      <c r="J24" s="34" t="str">
        <f>IFERROR(VLOOKUP($D24,'Master Sheet'!$B:$AA,5,FALSE),"")</f>
        <v>018208024827</v>
      </c>
      <c r="K24" s="35">
        <f>IFERROR(VLOOKUP($D24,'Master Sheet'!$B:$AA,8,FALSE),"")</f>
        <v>1592.9550000000002</v>
      </c>
      <c r="M24" s="9"/>
    </row>
    <row r="25" spans="1:13" x14ac:dyDescent="0.25">
      <c r="A25" s="10"/>
      <c r="B25" s="31"/>
      <c r="C25" s="31"/>
      <c r="D25" s="32" t="s">
        <v>64</v>
      </c>
      <c r="E25" s="33"/>
      <c r="F25" s="2"/>
      <c r="G25" s="17" t="str">
        <f>IFERROR(VLOOKUP($D25,'Master Sheet'!$B:$AA,3,FALSE),"")</f>
        <v>77MM FILTER C-PL II</v>
      </c>
      <c r="H25" s="2"/>
      <c r="I25" s="2" t="str">
        <f>IFERROR(VLOOKUP($D25,'Master Sheet'!$B:$AA,2,FALSE),"")</f>
        <v>FTA61001</v>
      </c>
      <c r="J25" s="34" t="str">
        <f>IFERROR(VLOOKUP($D25,'Master Sheet'!$B:$AA,5,FALSE),"")</f>
        <v>018208022601</v>
      </c>
      <c r="K25" s="35">
        <f>IFERROR(VLOOKUP($D25,'Master Sheet'!$B:$AA,8,FALSE),"")</f>
        <v>3680.9549999999999</v>
      </c>
      <c r="M25" s="9"/>
    </row>
    <row r="26" spans="1:13" ht="13.5" thickBot="1" x14ac:dyDescent="0.3">
      <c r="A26" s="10"/>
      <c r="B26" s="31"/>
      <c r="C26" s="31"/>
      <c r="D26" s="32"/>
      <c r="E26" s="33"/>
      <c r="F26" s="2"/>
      <c r="G26" s="17" t="str">
        <f>IFERROR(VLOOKUP($D26,'Master Sheet'!$B:$AA,3,FALSE),"")</f>
        <v/>
      </c>
      <c r="H26" s="2"/>
      <c r="I26" s="2" t="str">
        <f>IFERROR(VLOOKUP($D26,'Master Sheet'!$B:$AA,2,FALSE),"")</f>
        <v/>
      </c>
      <c r="J26" s="34" t="str">
        <f>IFERROR(VLOOKUP($D26,'Master Sheet'!$B:$AA,5,FALSE),"")</f>
        <v/>
      </c>
      <c r="K26" s="35" t="str">
        <f>IFERROR(VLOOKUP($D26,'Master Sheet'!$B:$AA,8,FALSE),"")</f>
        <v/>
      </c>
      <c r="M26" s="9"/>
    </row>
    <row r="27" spans="1:13" ht="13.5" thickBot="1" x14ac:dyDescent="0.3">
      <c r="A27" s="10"/>
      <c r="B27" s="31"/>
      <c r="C27" s="46"/>
      <c r="D27" s="47" t="s">
        <v>716</v>
      </c>
      <c r="E27" s="48"/>
      <c r="F27" s="47"/>
      <c r="G27" s="49" t="str">
        <f>IFERROR(VLOOKUP($D27,'Master Sheet'!$B:$AA,3,FALSE),"")</f>
        <v/>
      </c>
      <c r="H27" s="47"/>
      <c r="I27" s="47" t="s">
        <v>717</v>
      </c>
      <c r="J27" s="61" t="str">
        <f>IFERROR(VLOOKUP($D27,'Master Sheet'!$B:$AA,5,FALSE),"")</f>
        <v/>
      </c>
      <c r="K27" s="62" t="str">
        <f>IFERROR(VLOOKUP($D27,'Master Sheet'!$B:$AA,8,FALSE),"")</f>
        <v/>
      </c>
      <c r="M27" s="9"/>
    </row>
    <row r="28" spans="1:13" x14ac:dyDescent="0.25">
      <c r="A28" s="10"/>
      <c r="B28" s="31"/>
      <c r="C28" s="31"/>
      <c r="D28" s="32" t="s">
        <v>679</v>
      </c>
      <c r="E28" s="33"/>
      <c r="F28" s="2"/>
      <c r="G28" s="17" t="str">
        <f>IFERROR(VLOOKUP($D28,'Master Sheet'!$B:$AA,3,FALSE),"")</f>
        <v>Nikon NIKKOR Z 24mm f/1.7 DX Lens</v>
      </c>
      <c r="H28" s="2"/>
      <c r="I28" s="2" t="str">
        <f>IFERROR(VLOOKUP($D28,'Master Sheet'!$B:$AA,2,FALSE),"")</f>
        <v>JMA109DA</v>
      </c>
      <c r="J28" s="34" t="str">
        <f>IFERROR(VLOOKUP($D28,'Master Sheet'!$B:$AA,5,FALSE),"")</f>
        <v>018208201198</v>
      </c>
      <c r="K28" s="35">
        <f>IFERROR(VLOOKUP($D28,'Master Sheet'!$B:$AA,8,FALSE),"")</f>
        <v>5246.9549999999999</v>
      </c>
      <c r="M28" s="9"/>
    </row>
    <row r="29" spans="1:13" x14ac:dyDescent="0.25">
      <c r="A29" s="10"/>
      <c r="B29" s="31"/>
      <c r="C29" s="31"/>
      <c r="D29" s="32" t="s">
        <v>531</v>
      </c>
      <c r="E29" s="33"/>
      <c r="F29" s="2"/>
      <c r="G29" s="17" t="str">
        <f>IFERROR(VLOOKUP($D29,'Master Sheet'!$B:$AA,3,FALSE),"")</f>
        <v>46mm Z-Series Lens Cap</v>
      </c>
      <c r="H29" s="2"/>
      <c r="I29" s="2" t="str">
        <f>IFERROR(VLOOKUP($D29,'Master Sheet'!$B:$AA,2,FALSE),"")</f>
        <v>JMD00501</v>
      </c>
      <c r="J29" s="34" t="str">
        <f>IFERROR(VLOOKUP($D29,'Master Sheet'!$B:$AA,5,FALSE),"")</f>
        <v>018208042098</v>
      </c>
      <c r="K29" s="35">
        <f>IFERROR(VLOOKUP($D29,'Master Sheet'!$B:$AA,8,FALSE),"")</f>
        <v>98.954999999999998</v>
      </c>
      <c r="M29" s="9"/>
    </row>
    <row r="30" spans="1:13" x14ac:dyDescent="0.25">
      <c r="A30" s="10"/>
      <c r="B30" s="31"/>
      <c r="C30" s="31"/>
      <c r="D30" s="32" t="s">
        <v>528</v>
      </c>
      <c r="E30" s="33"/>
      <c r="F30" s="2"/>
      <c r="G30" s="17" t="str">
        <f>IFERROR(VLOOKUP($D30,'Master Sheet'!$B:$AA,3,FALSE),"")</f>
        <v>LF-N1 Rear Lens Cap (Z-Series)</v>
      </c>
      <c r="H30" s="2"/>
      <c r="I30" s="2" t="str">
        <f>IFERROR(VLOOKUP($D30,'Master Sheet'!$B:$AA,2,FALSE),"")</f>
        <v>JMD00101</v>
      </c>
      <c r="J30" s="34" t="str">
        <f>IFERROR(VLOOKUP($D30,'Master Sheet'!$B:$AA,5,FALSE),"")</f>
        <v>018208041824</v>
      </c>
      <c r="K30" s="35">
        <f>IFERROR(VLOOKUP($D30,'Master Sheet'!$B:$AA,8,FALSE),"")</f>
        <v>107.955</v>
      </c>
      <c r="M30" s="9"/>
    </row>
    <row r="31" spans="1:13" x14ac:dyDescent="0.25">
      <c r="A31" s="10"/>
      <c r="B31" s="31"/>
      <c r="C31" s="31"/>
      <c r="D31" s="32" t="s">
        <v>463</v>
      </c>
      <c r="E31" s="33"/>
      <c r="F31" s="2"/>
      <c r="G31" s="17" t="str">
        <f>IFERROR(VLOOKUP($D31,'Master Sheet'!$B:$AA,3,FALSE),"")</f>
        <v>46MM FILTER NC NEUTRAL COLOUR</v>
      </c>
      <c r="H31" s="2"/>
      <c r="I31" s="2" t="str">
        <f>IFERROR(VLOOKUP($D31,'Master Sheet'!$B:$AA,2,FALSE),"")</f>
        <v>FTA71001</v>
      </c>
      <c r="J31" s="34" t="str">
        <f>IFERROR(VLOOKUP($D31,'Master Sheet'!$B:$AA,5,FALSE),"")</f>
        <v>018208024940</v>
      </c>
      <c r="K31" s="35">
        <f>IFERROR(VLOOKUP($D31,'Master Sheet'!$B:$AA,8,FALSE),"")</f>
        <v>377.95499999999998</v>
      </c>
      <c r="M31" s="9"/>
    </row>
    <row r="32" spans="1:13" ht="13.5" thickBot="1" x14ac:dyDescent="0.3">
      <c r="A32" s="10"/>
      <c r="B32" s="31"/>
      <c r="C32" s="31"/>
      <c r="D32" s="32"/>
      <c r="E32" s="33"/>
      <c r="F32" s="2"/>
      <c r="G32" s="17" t="str">
        <f>IFERROR(VLOOKUP($D32,'Master Sheet'!$B:$AA,3,FALSE),"")</f>
        <v/>
      </c>
      <c r="H32" s="2"/>
      <c r="I32" s="2" t="str">
        <f>IFERROR(VLOOKUP($D32,'Master Sheet'!$B:$AA,2,FALSE),"")</f>
        <v/>
      </c>
      <c r="J32" s="34" t="str">
        <f>IFERROR(VLOOKUP($D32,'Master Sheet'!$B:$AA,5,FALSE),"")</f>
        <v/>
      </c>
      <c r="K32" s="35" t="str">
        <f>IFERROR(VLOOKUP($D32,'Master Sheet'!$B:$AA,8,FALSE),"")</f>
        <v/>
      </c>
      <c r="M32" s="9"/>
    </row>
    <row r="33" spans="1:13" ht="13.5" thickBot="1" x14ac:dyDescent="0.3">
      <c r="A33" s="10"/>
      <c r="B33" s="31"/>
      <c r="C33" s="46"/>
      <c r="D33" s="47" t="s">
        <v>253</v>
      </c>
      <c r="E33" s="48"/>
      <c r="F33" s="47"/>
      <c r="G33" s="49" t="str">
        <f>IFERROR(VLOOKUP($D33,'Master Sheet'!$B:$AA,3,FALSE),"")</f>
        <v/>
      </c>
      <c r="H33" s="47"/>
      <c r="I33" s="47" t="s">
        <v>244</v>
      </c>
      <c r="J33" s="61"/>
      <c r="K33" s="62" t="str">
        <f>IFERROR(VLOOKUP($D33,'Master Sheet'!$B:$AA,8,FALSE),"")</f>
        <v/>
      </c>
      <c r="M33" s="9"/>
    </row>
    <row r="34" spans="1:13" x14ac:dyDescent="0.25">
      <c r="A34" s="10"/>
      <c r="B34" s="31"/>
      <c r="C34" s="31"/>
      <c r="D34" s="32" t="s">
        <v>110</v>
      </c>
      <c r="E34" s="33"/>
      <c r="F34" s="2"/>
      <c r="G34" s="17" t="str">
        <f>IFERROR(VLOOKUP($D34,'Master Sheet'!$B:$AA,3,FALSE),"")</f>
        <v>Nikon NIKKOR Z 24mm f/1.8 S Lens</v>
      </c>
      <c r="H34" s="2"/>
      <c r="I34" s="2" t="str">
        <f>IFERROR(VLOOKUP($D34,'Master Sheet'!$B:$AA,2,FALSE),"")</f>
        <v>JMA103DA</v>
      </c>
      <c r="J34" s="34" t="str">
        <f>IFERROR(VLOOKUP($D34,'Master Sheet'!$B:$AA,5,FALSE),"")</f>
        <v>018208200801</v>
      </c>
      <c r="K34" s="35">
        <f>IFERROR(VLOOKUP($D34,'Master Sheet'!$B:$AA,8,FALSE),"")</f>
        <v>17999.955000000002</v>
      </c>
      <c r="M34" s="9"/>
    </row>
    <row r="35" spans="1:13" x14ac:dyDescent="0.25">
      <c r="A35" s="10"/>
      <c r="B35" s="31"/>
      <c r="C35" s="31"/>
      <c r="D35" s="32" t="s">
        <v>534</v>
      </c>
      <c r="E35" s="33"/>
      <c r="F35" s="2"/>
      <c r="G35" s="17" t="str">
        <f>IFERROR(VLOOKUP($D35,'Master Sheet'!$B:$AA,3,FALSE),"")</f>
        <v>72mm Z-Series Lens Cap</v>
      </c>
      <c r="H35" s="2"/>
      <c r="I35" s="2" t="str">
        <f>IFERROR(VLOOKUP($D35,'Master Sheet'!$B:$AA,2,FALSE),"")</f>
        <v>JMD00301</v>
      </c>
      <c r="J35" s="34" t="str">
        <f>IFERROR(VLOOKUP($D35,'Master Sheet'!$B:$AA,5,FALSE),"")</f>
        <v>018208041954</v>
      </c>
      <c r="K35" s="35">
        <f>IFERROR(VLOOKUP($D35,'Master Sheet'!$B:$AA,8,FALSE),"")</f>
        <v>188.95499999999998</v>
      </c>
      <c r="M35" s="9"/>
    </row>
    <row r="36" spans="1:13" x14ac:dyDescent="0.25">
      <c r="A36" s="10"/>
      <c r="B36" s="31"/>
      <c r="C36" s="31"/>
      <c r="D36" s="32" t="s">
        <v>528</v>
      </c>
      <c r="E36" s="33"/>
      <c r="F36" s="2"/>
      <c r="G36" s="17" t="str">
        <f>IFERROR(VLOOKUP($D36,'Master Sheet'!$B:$AA,3,FALSE),"")</f>
        <v>LF-N1 Rear Lens Cap (Z-Series)</v>
      </c>
      <c r="H36" s="2"/>
      <c r="I36" s="2" t="str">
        <f>IFERROR(VLOOKUP($D36,'Master Sheet'!$B:$AA,2,FALSE),"")</f>
        <v>JMD00101</v>
      </c>
      <c r="J36" s="34" t="str">
        <f>IFERROR(VLOOKUP($D36,'Master Sheet'!$B:$AA,5,FALSE),"")</f>
        <v>018208041824</v>
      </c>
      <c r="K36" s="35">
        <f>IFERROR(VLOOKUP($D36,'Master Sheet'!$B:$AA,8,FALSE),"")</f>
        <v>107.955</v>
      </c>
      <c r="M36" s="9"/>
    </row>
    <row r="37" spans="1:13" x14ac:dyDescent="0.25">
      <c r="A37" s="10"/>
      <c r="B37" s="31"/>
      <c r="C37" s="31"/>
      <c r="D37" s="32" t="s">
        <v>61</v>
      </c>
      <c r="E37" s="33"/>
      <c r="F37" s="2"/>
      <c r="G37" s="17" t="str">
        <f>IFERROR(VLOOKUP($D37,'Master Sheet'!$B:$AA,3,FALSE),"")</f>
        <v>72MM FILTER NC NEUTRAL COLOUR</v>
      </c>
      <c r="H37" s="2"/>
      <c r="I37" s="2" t="str">
        <f>IFERROR(VLOOKUP($D37,'Master Sheet'!$B:$AA,2,FALSE),"")</f>
        <v>FTA16601</v>
      </c>
      <c r="J37" s="34" t="str">
        <f>IFERROR(VLOOKUP($D37,'Master Sheet'!$B:$AA,5,FALSE),"")</f>
        <v>018208024810</v>
      </c>
      <c r="K37" s="35">
        <f>IFERROR(VLOOKUP($D37,'Master Sheet'!$B:$AA,8,FALSE),"")</f>
        <v>1439.9550000000002</v>
      </c>
      <c r="M37" s="9"/>
    </row>
    <row r="38" spans="1:13" x14ac:dyDescent="0.25">
      <c r="A38" s="10"/>
      <c r="B38" s="31"/>
      <c r="C38" s="31"/>
      <c r="D38" s="32" t="s">
        <v>62</v>
      </c>
      <c r="E38" s="33"/>
      <c r="F38" s="2"/>
      <c r="G38" s="17" t="str">
        <f>IFERROR(VLOOKUP($D38,'Master Sheet'!$B:$AA,3,FALSE),"")</f>
        <v xml:space="preserve">72MM FILTER C-PL II                     </v>
      </c>
      <c r="H38" s="2"/>
      <c r="I38" s="2" t="str">
        <f>IFERROR(VLOOKUP($D38,'Master Sheet'!$B:$AA,2,FALSE),"")</f>
        <v>FTA16701</v>
      </c>
      <c r="J38" s="34" t="str">
        <f>IFERROR(VLOOKUP($D38,'Master Sheet'!$B:$AA,5,FALSE),"")</f>
        <v>018208022571</v>
      </c>
      <c r="K38" s="35">
        <f>IFERROR(VLOOKUP($D38,'Master Sheet'!$B:$AA,8,FALSE),"")</f>
        <v>3059.9549999999999</v>
      </c>
      <c r="M38" s="9"/>
    </row>
    <row r="39" spans="1:13" ht="13.5" thickBot="1" x14ac:dyDescent="0.3">
      <c r="A39" s="10"/>
      <c r="B39" s="31"/>
      <c r="C39" s="31"/>
      <c r="D39" s="32"/>
      <c r="E39" s="33"/>
      <c r="F39" s="2"/>
      <c r="G39" s="17" t="str">
        <f>IFERROR(VLOOKUP($D39,'Master Sheet'!$B:$AA,3,FALSE),"")</f>
        <v/>
      </c>
      <c r="H39" s="2"/>
      <c r="I39" s="2" t="str">
        <f>IFERROR(VLOOKUP($D39,'Master Sheet'!$B:$AA,2,FALSE),"")</f>
        <v/>
      </c>
      <c r="J39" s="34" t="str">
        <f>IFERROR(VLOOKUP($D39,'Master Sheet'!$B:$AA,5,FALSE),"")</f>
        <v/>
      </c>
      <c r="K39" s="35" t="str">
        <f>IFERROR(VLOOKUP($D39,'Master Sheet'!$B:$AA,8,FALSE),"")</f>
        <v/>
      </c>
      <c r="M39" s="9"/>
    </row>
    <row r="40" spans="1:13" ht="13.5" thickBot="1" x14ac:dyDescent="0.3">
      <c r="A40" s="10"/>
      <c r="B40" s="31"/>
      <c r="C40" s="46"/>
      <c r="D40" s="47" t="s">
        <v>622</v>
      </c>
      <c r="E40" s="48"/>
      <c r="F40" s="47"/>
      <c r="G40" s="49" t="str">
        <f>IFERROR(VLOOKUP($D40,'Master Sheet'!$B:$AA,3,FALSE),"")</f>
        <v/>
      </c>
      <c r="H40" s="47"/>
      <c r="I40" s="47" t="s">
        <v>633</v>
      </c>
      <c r="J40" s="61"/>
      <c r="K40" s="62" t="str">
        <f>IFERROR(VLOOKUP($D40,'Master Sheet'!$B:$AA,8,FALSE),"")</f>
        <v/>
      </c>
      <c r="M40" s="9"/>
    </row>
    <row r="41" spans="1:13" x14ac:dyDescent="0.25">
      <c r="A41" s="10"/>
      <c r="B41" s="31"/>
      <c r="C41" s="31"/>
      <c r="D41" s="32" t="s">
        <v>623</v>
      </c>
      <c r="E41" s="33"/>
      <c r="F41" s="2"/>
      <c r="G41" s="17" t="str">
        <f>IFERROR(VLOOKUP($D41,'Master Sheet'!$B:$AA,3,FALSE),"")</f>
        <v>Nikon NIKKOR Z 26mm f/2.8 Lens</v>
      </c>
      <c r="H41" s="2"/>
      <c r="I41" s="2" t="str">
        <f>IFERROR(VLOOKUP($D41,'Master Sheet'!$B:$AA,2,FALSE),"")</f>
        <v>JMA108DA</v>
      </c>
      <c r="J41" s="34" t="str">
        <f>IFERROR(VLOOKUP($D41,'Master Sheet'!$B:$AA,5,FALSE),"")</f>
        <v>018208201167</v>
      </c>
      <c r="K41" s="35">
        <f>IFERROR(VLOOKUP($D41,'Master Sheet'!$B:$AA,8,FALSE),"")</f>
        <v>8999.9550000000017</v>
      </c>
      <c r="M41" s="9"/>
    </row>
    <row r="42" spans="1:13" x14ac:dyDescent="0.25">
      <c r="A42" s="10"/>
      <c r="B42" s="31"/>
      <c r="C42" s="31"/>
      <c r="D42" s="32" t="s">
        <v>528</v>
      </c>
      <c r="E42" s="33"/>
      <c r="F42" s="2"/>
      <c r="G42" s="17" t="str">
        <f>IFERROR(VLOOKUP($D42,'Master Sheet'!$B:$AA,3,FALSE),"")</f>
        <v>LF-N1 Rear Lens Cap (Z-Series)</v>
      </c>
      <c r="H42" s="2"/>
      <c r="I42" s="2" t="str">
        <f>IFERROR(VLOOKUP($D42,'Master Sheet'!$B:$AA,2,FALSE),"")</f>
        <v>JMD00101</v>
      </c>
      <c r="J42" s="34" t="str">
        <f>IFERROR(VLOOKUP($D42,'Master Sheet'!$B:$AA,5,FALSE),"")</f>
        <v>018208041824</v>
      </c>
      <c r="K42" s="35">
        <f>IFERROR(VLOOKUP($D42,'Master Sheet'!$B:$AA,8,FALSE),"")</f>
        <v>107.955</v>
      </c>
      <c r="M42" s="9"/>
    </row>
    <row r="43" spans="1:13" x14ac:dyDescent="0.25">
      <c r="A43" s="10"/>
      <c r="B43" s="31"/>
      <c r="C43" s="31"/>
      <c r="D43" s="32" t="s">
        <v>71</v>
      </c>
      <c r="E43" s="33"/>
      <c r="F43" s="2"/>
      <c r="G43" s="17" t="str">
        <f>IFERROR(VLOOKUP($D43,'Master Sheet'!$B:$AA,3,FALSE),"")</f>
        <v>52MM FILTER NC NEUTRAL COLOUR</v>
      </c>
      <c r="H43" s="2"/>
      <c r="I43" s="2" t="str">
        <f>IFERROR(VLOOKUP($D43,'Master Sheet'!$B:$AA,2,FALSE),"")</f>
        <v>FTA07701</v>
      </c>
      <c r="J43" s="34" t="str">
        <f>IFERROR(VLOOKUP($D43,'Master Sheet'!$B:$AA,5,FALSE),"")</f>
        <v>018208024797</v>
      </c>
      <c r="K43" s="35">
        <f>IFERROR(VLOOKUP($D43,'Master Sheet'!$B:$AA,8,FALSE),"")</f>
        <v>512.95500000000004</v>
      </c>
      <c r="M43" s="9"/>
    </row>
    <row r="44" spans="1:13" x14ac:dyDescent="0.25">
      <c r="A44" s="10"/>
      <c r="B44" s="31"/>
      <c r="C44" s="31"/>
      <c r="D44" s="32" t="s">
        <v>72</v>
      </c>
      <c r="E44" s="33"/>
      <c r="F44" s="2"/>
      <c r="G44" s="17" t="str">
        <f>IFERROR(VLOOKUP($D44,'Master Sheet'!$B:$AA,3,FALSE),"")</f>
        <v xml:space="preserve">52MM FILTER C-PL II             </v>
      </c>
      <c r="H44" s="2"/>
      <c r="I44" s="2" t="str">
        <f>IFERROR(VLOOKUP($D44,'Master Sheet'!$B:$AA,2,FALSE),"")</f>
        <v>FTA08001</v>
      </c>
      <c r="J44" s="34" t="str">
        <f>IFERROR(VLOOKUP($D44,'Master Sheet'!$B:$AA,5,FALSE),"")</f>
        <v>018208022335</v>
      </c>
      <c r="K44" s="35">
        <f>IFERROR(VLOOKUP($D44,'Master Sheet'!$B:$AA,8,FALSE),"")</f>
        <v>1736.9550000000002</v>
      </c>
      <c r="M44" s="9"/>
    </row>
    <row r="45" spans="1:13" ht="13.5" thickBot="1" x14ac:dyDescent="0.3">
      <c r="A45" s="10"/>
      <c r="B45" s="31"/>
      <c r="C45" s="31"/>
      <c r="D45" s="32"/>
      <c r="E45" s="33"/>
      <c r="F45" s="2"/>
      <c r="G45" s="17" t="str">
        <f>IFERROR(VLOOKUP($D45,'Master Sheet'!$B:$AA,3,FALSE),"")</f>
        <v/>
      </c>
      <c r="H45" s="2"/>
      <c r="I45" s="2" t="str">
        <f>IFERROR(VLOOKUP($D45,'Master Sheet'!$B:$AA,2,FALSE),"")</f>
        <v/>
      </c>
      <c r="J45" s="34" t="str">
        <f>IFERROR(VLOOKUP($D45,'Master Sheet'!$B:$AA,5,FALSE),"")</f>
        <v/>
      </c>
      <c r="K45" s="35" t="str">
        <f>IFERROR(VLOOKUP($D45,'Master Sheet'!$B:$AA,8,FALSE),"")</f>
        <v/>
      </c>
      <c r="M45" s="9"/>
    </row>
    <row r="46" spans="1:13" ht="13.5" thickBot="1" x14ac:dyDescent="0.3">
      <c r="A46" s="10"/>
      <c r="B46" s="31"/>
      <c r="C46" s="46"/>
      <c r="D46" s="47" t="s">
        <v>520</v>
      </c>
      <c r="E46" s="48"/>
      <c r="F46" s="47"/>
      <c r="G46" s="49" t="str">
        <f>IFERROR(VLOOKUP($D46,'Master Sheet'!$B:$AA,3,FALSE),"")</f>
        <v/>
      </c>
      <c r="H46" s="47"/>
      <c r="I46" s="47" t="str">
        <f>IFERROR(VLOOKUP($D46,'Master Sheet'!$B:$AA,2,FALSE),"")</f>
        <v/>
      </c>
      <c r="J46" s="61" t="str">
        <f>IFERROR(VLOOKUP($D46,'Master Sheet'!$B:$AA,5,FALSE),"")</f>
        <v/>
      </c>
      <c r="K46" s="62" t="str">
        <f>IFERROR(VLOOKUP($D46,'Master Sheet'!$B:$AA,8,FALSE),"")</f>
        <v/>
      </c>
      <c r="M46" s="9"/>
    </row>
    <row r="47" spans="1:13" x14ac:dyDescent="0.25">
      <c r="A47" s="10"/>
      <c r="B47" s="31"/>
      <c r="C47" s="31"/>
      <c r="D47" s="32" t="s">
        <v>517</v>
      </c>
      <c r="E47" s="33"/>
      <c r="F47" s="2"/>
      <c r="G47" s="17" t="str">
        <f>IFERROR(VLOOKUP($D47,'Master Sheet'!$B:$AA,3,FALSE),"")</f>
        <v>Nikon NIKKOR Z 28mm f/2.8 Lens</v>
      </c>
      <c r="H47" s="2"/>
      <c r="I47" s="2" t="str">
        <f>IFERROR(VLOOKUP($D47,'Master Sheet'!$B:$AA,2,FALSE),"")</f>
        <v>JMA105DA</v>
      </c>
      <c r="J47" s="34" t="str">
        <f>IFERROR(VLOOKUP($D47,'Master Sheet'!$B:$AA,5,FALSE),"")</f>
        <v>018208201013</v>
      </c>
      <c r="K47" s="35">
        <f>IFERROR(VLOOKUP($D47,'Master Sheet'!$B:$AA,8,FALSE),"")</f>
        <v>4931.9549999999999</v>
      </c>
      <c r="M47" s="9"/>
    </row>
    <row r="48" spans="1:13" x14ac:dyDescent="0.25">
      <c r="A48" s="10"/>
      <c r="B48" s="31"/>
      <c r="C48" s="31"/>
      <c r="D48" s="32" t="s">
        <v>532</v>
      </c>
      <c r="E48" s="33"/>
      <c r="F48" s="2"/>
      <c r="G48" s="17" t="str">
        <f>IFERROR(VLOOKUP($D48,'Master Sheet'!$B:$AA,3,FALSE),"")</f>
        <v>52mm Z-Series Lens Cap</v>
      </c>
      <c r="H48" s="2"/>
      <c r="I48" s="2" t="str">
        <f>IFERROR(VLOOKUP($D48,'Master Sheet'!$B:$AA,2,FALSE),"")</f>
        <v>JMD01101</v>
      </c>
      <c r="J48" s="34" t="str">
        <f>IFERROR(VLOOKUP($D48,'Master Sheet'!$B:$AA,5,FALSE),"")</f>
        <v>018208042449</v>
      </c>
      <c r="K48" s="35">
        <f>IFERROR(VLOOKUP($D48,'Master Sheet'!$B:$AA,8,FALSE),"")</f>
        <v>116.955</v>
      </c>
      <c r="M48" s="9"/>
    </row>
    <row r="49" spans="1:13" x14ac:dyDescent="0.25">
      <c r="A49" s="10"/>
      <c r="B49" s="31"/>
      <c r="C49" s="31"/>
      <c r="D49" s="32" t="s">
        <v>528</v>
      </c>
      <c r="E49" s="33"/>
      <c r="F49" s="2"/>
      <c r="G49" s="17" t="str">
        <f>IFERROR(VLOOKUP($D49,'Master Sheet'!$B:$AA,3,FALSE),"")</f>
        <v>LF-N1 Rear Lens Cap (Z-Series)</v>
      </c>
      <c r="H49" s="2"/>
      <c r="I49" s="2" t="str">
        <f>IFERROR(VLOOKUP($D49,'Master Sheet'!$B:$AA,2,FALSE),"")</f>
        <v>JMD00101</v>
      </c>
      <c r="J49" s="34" t="str">
        <f>IFERROR(VLOOKUP($D49,'Master Sheet'!$B:$AA,5,FALSE),"")</f>
        <v>018208041824</v>
      </c>
      <c r="K49" s="35">
        <f>IFERROR(VLOOKUP($D49,'Master Sheet'!$B:$AA,8,FALSE),"")</f>
        <v>107.955</v>
      </c>
      <c r="M49" s="9"/>
    </row>
    <row r="50" spans="1:13" x14ac:dyDescent="0.25">
      <c r="A50" s="10"/>
      <c r="B50" s="31"/>
      <c r="C50" s="31"/>
      <c r="D50" s="32" t="s">
        <v>71</v>
      </c>
      <c r="E50" s="33"/>
      <c r="F50" s="2"/>
      <c r="G50" s="17" t="str">
        <f>IFERROR(VLOOKUP($D50,'Master Sheet'!$B:$AA,3,FALSE),"")</f>
        <v>52MM FILTER NC NEUTRAL COLOUR</v>
      </c>
      <c r="H50" s="2"/>
      <c r="I50" s="2" t="str">
        <f>IFERROR(VLOOKUP($D50,'Master Sheet'!$B:$AA,2,FALSE),"")</f>
        <v>FTA07701</v>
      </c>
      <c r="J50" s="34" t="str">
        <f>IFERROR(VLOOKUP($D50,'Master Sheet'!$B:$AA,5,FALSE),"")</f>
        <v>018208024797</v>
      </c>
      <c r="K50" s="35">
        <f>IFERROR(VLOOKUP($D50,'Master Sheet'!$B:$AA,8,FALSE),"")</f>
        <v>512.95500000000004</v>
      </c>
      <c r="M50" s="9"/>
    </row>
    <row r="51" spans="1:13" x14ac:dyDescent="0.25">
      <c r="A51" s="10"/>
      <c r="B51" s="31"/>
      <c r="C51" s="31"/>
      <c r="D51" s="32" t="s">
        <v>72</v>
      </c>
      <c r="E51" s="33"/>
      <c r="F51" s="2"/>
      <c r="G51" s="17" t="str">
        <f>IFERROR(VLOOKUP($D51,'Master Sheet'!$B:$AA,3,FALSE),"")</f>
        <v xml:space="preserve">52MM FILTER C-PL II             </v>
      </c>
      <c r="H51" s="2"/>
      <c r="I51" s="2" t="str">
        <f>IFERROR(VLOOKUP($D51,'Master Sheet'!$B:$AA,2,FALSE),"")</f>
        <v>FTA08001</v>
      </c>
      <c r="J51" s="34" t="str">
        <f>IFERROR(VLOOKUP($D51,'Master Sheet'!$B:$AA,5,FALSE),"")</f>
        <v>018208022335</v>
      </c>
      <c r="K51" s="35">
        <f>IFERROR(VLOOKUP($D51,'Master Sheet'!$B:$AA,8,FALSE),"")</f>
        <v>1736.9550000000002</v>
      </c>
      <c r="M51" s="9"/>
    </row>
    <row r="52" spans="1:13" ht="13.5" thickBot="1" x14ac:dyDescent="0.3">
      <c r="A52" s="10"/>
      <c r="B52" s="31"/>
      <c r="C52" s="31"/>
      <c r="D52" s="32"/>
      <c r="E52" s="33"/>
      <c r="F52" s="2"/>
      <c r="G52" s="17" t="str">
        <f>IFERROR(VLOOKUP($D52,'Master Sheet'!$B:$AA,3,FALSE),"")</f>
        <v/>
      </c>
      <c r="H52" s="2"/>
      <c r="I52" s="2" t="str">
        <f>IFERROR(VLOOKUP($D52,'Master Sheet'!$B:$AA,2,FALSE),"")</f>
        <v/>
      </c>
      <c r="J52" s="34" t="str">
        <f>IFERROR(VLOOKUP($D52,'Master Sheet'!$B:$AA,5,FALSE),"")</f>
        <v/>
      </c>
      <c r="K52" s="35" t="str">
        <f>IFERROR(VLOOKUP($D52,'Master Sheet'!$B:$AA,8,FALSE),"")</f>
        <v/>
      </c>
      <c r="M52" s="9"/>
    </row>
    <row r="53" spans="1:13" ht="13.5" thickBot="1" x14ac:dyDescent="0.3">
      <c r="A53" s="10"/>
      <c r="B53" s="31"/>
      <c r="C53" s="46"/>
      <c r="D53" s="47" t="s">
        <v>448</v>
      </c>
      <c r="E53" s="48"/>
      <c r="F53" s="47"/>
      <c r="G53" s="49" t="str">
        <f>IFERROR(VLOOKUP($D53,'Master Sheet'!$B:$AA,3,FALSE),"")</f>
        <v/>
      </c>
      <c r="H53" s="47"/>
      <c r="I53" s="47" t="str">
        <f>IFERROR(VLOOKUP($D53,'Master Sheet'!$B:$AA,2,FALSE),"")</f>
        <v/>
      </c>
      <c r="J53" s="61" t="str">
        <f>IFERROR(VLOOKUP($D53,'Master Sheet'!$B:$AA,5,FALSE),"")</f>
        <v/>
      </c>
      <c r="K53" s="62" t="str">
        <f>IFERROR(VLOOKUP($D53,'Master Sheet'!$B:$AA,8,FALSE),"")</f>
        <v/>
      </c>
      <c r="M53" s="9"/>
    </row>
    <row r="54" spans="1:13" x14ac:dyDescent="0.25">
      <c r="A54" s="10"/>
      <c r="B54" s="31"/>
      <c r="C54" s="31"/>
      <c r="D54" s="32" t="s">
        <v>456</v>
      </c>
      <c r="E54" s="33"/>
      <c r="F54" s="2"/>
      <c r="G54" s="17" t="str">
        <f>IFERROR(VLOOKUP($D54,'Master Sheet'!$B:$AA,3,FALSE),"")</f>
        <v>Nikon NIKKOR Z 28mm f/2.8 SE Lens</v>
      </c>
      <c r="H54" s="2"/>
      <c r="I54" s="2" t="str">
        <f>IFERROR(VLOOKUP($D54,'Master Sheet'!$B:$AA,2,FALSE),"")</f>
        <v>JMA107DA</v>
      </c>
      <c r="J54" s="34" t="str">
        <f>IFERROR(VLOOKUP($D54,'Master Sheet'!$B:$AA,5,FALSE),"")</f>
        <v>018208201105</v>
      </c>
      <c r="K54" s="35">
        <f>IFERROR(VLOOKUP($D54,'Master Sheet'!$B:$AA,8,FALSE),"")</f>
        <v>4931.9549999999999</v>
      </c>
      <c r="M54" s="9"/>
    </row>
    <row r="55" spans="1:13" x14ac:dyDescent="0.25">
      <c r="A55" s="10"/>
      <c r="B55" s="31"/>
      <c r="C55" s="31"/>
      <c r="D55" s="32" t="s">
        <v>532</v>
      </c>
      <c r="E55" s="33"/>
      <c r="F55" s="2"/>
      <c r="G55" s="17" t="str">
        <f>IFERROR(VLOOKUP($D55,'Master Sheet'!$B:$AA,3,FALSE),"")</f>
        <v>52mm Z-Series Lens Cap</v>
      </c>
      <c r="H55" s="2"/>
      <c r="I55" s="2" t="str">
        <f>IFERROR(VLOOKUP($D55,'Master Sheet'!$B:$AA,2,FALSE),"")</f>
        <v>JMD01101</v>
      </c>
      <c r="J55" s="34" t="str">
        <f>IFERROR(VLOOKUP($D55,'Master Sheet'!$B:$AA,5,FALSE),"")</f>
        <v>018208042449</v>
      </c>
      <c r="K55" s="35">
        <f>IFERROR(VLOOKUP($D55,'Master Sheet'!$B:$AA,8,FALSE),"")</f>
        <v>116.955</v>
      </c>
      <c r="M55" s="9"/>
    </row>
    <row r="56" spans="1:13" x14ac:dyDescent="0.25">
      <c r="A56" s="10"/>
      <c r="B56" s="31"/>
      <c r="C56" s="31"/>
      <c r="D56" s="32" t="s">
        <v>528</v>
      </c>
      <c r="E56" s="33"/>
      <c r="F56" s="2"/>
      <c r="G56" s="17" t="str">
        <f>IFERROR(VLOOKUP($D56,'Master Sheet'!$B:$AA,3,FALSE),"")</f>
        <v>LF-N1 Rear Lens Cap (Z-Series)</v>
      </c>
      <c r="H56" s="2"/>
      <c r="I56" s="2" t="str">
        <f>IFERROR(VLOOKUP($D56,'Master Sheet'!$B:$AA,2,FALSE),"")</f>
        <v>JMD00101</v>
      </c>
      <c r="J56" s="34" t="str">
        <f>IFERROR(VLOOKUP($D56,'Master Sheet'!$B:$AA,5,FALSE),"")</f>
        <v>018208041824</v>
      </c>
      <c r="K56" s="35">
        <f>IFERROR(VLOOKUP($D56,'Master Sheet'!$B:$AA,8,FALSE),"")</f>
        <v>107.955</v>
      </c>
      <c r="M56" s="9"/>
    </row>
    <row r="57" spans="1:13" x14ac:dyDescent="0.25">
      <c r="A57" s="10"/>
      <c r="B57" s="31"/>
      <c r="C57" s="31"/>
      <c r="D57" s="32" t="s">
        <v>71</v>
      </c>
      <c r="E57" s="33"/>
      <c r="F57" s="2"/>
      <c r="G57" s="17" t="str">
        <f>IFERROR(VLOOKUP($D57,'Master Sheet'!$B:$AA,3,FALSE),"")</f>
        <v>52MM FILTER NC NEUTRAL COLOUR</v>
      </c>
      <c r="H57" s="2"/>
      <c r="I57" s="2" t="str">
        <f>IFERROR(VLOOKUP($D57,'Master Sheet'!$B:$AA,2,FALSE),"")</f>
        <v>FTA07701</v>
      </c>
      <c r="J57" s="34" t="str">
        <f>IFERROR(VLOOKUP($D57,'Master Sheet'!$B:$AA,5,FALSE),"")</f>
        <v>018208024797</v>
      </c>
      <c r="K57" s="35">
        <f>IFERROR(VLOOKUP($D57,'Master Sheet'!$B:$AA,8,FALSE),"")</f>
        <v>512.95500000000004</v>
      </c>
      <c r="M57" s="9"/>
    </row>
    <row r="58" spans="1:13" x14ac:dyDescent="0.25">
      <c r="A58" s="10"/>
      <c r="B58" s="31"/>
      <c r="C58" s="31"/>
      <c r="D58" s="32" t="s">
        <v>72</v>
      </c>
      <c r="E58" s="33"/>
      <c r="F58" s="2"/>
      <c r="G58" s="17" t="str">
        <f>IFERROR(VLOOKUP($D58,'Master Sheet'!$B:$AA,3,FALSE),"")</f>
        <v xml:space="preserve">52MM FILTER C-PL II             </v>
      </c>
      <c r="H58" s="2"/>
      <c r="I58" s="2" t="str">
        <f>IFERROR(VLOOKUP($D58,'Master Sheet'!$B:$AA,2,FALSE),"")</f>
        <v>FTA08001</v>
      </c>
      <c r="J58" s="34" t="str">
        <f>IFERROR(VLOOKUP($D58,'Master Sheet'!$B:$AA,5,FALSE),"")</f>
        <v>018208022335</v>
      </c>
      <c r="K58" s="35">
        <f>IFERROR(VLOOKUP($D58,'Master Sheet'!$B:$AA,8,FALSE),"")</f>
        <v>1736.9550000000002</v>
      </c>
      <c r="M58" s="9"/>
    </row>
    <row r="59" spans="1:13" ht="13.5" thickBot="1" x14ac:dyDescent="0.3">
      <c r="A59" s="10"/>
      <c r="B59" s="31"/>
      <c r="C59" s="31"/>
      <c r="D59" s="32"/>
      <c r="E59" s="33"/>
      <c r="F59" s="2"/>
      <c r="G59" s="17" t="str">
        <f>IFERROR(VLOOKUP($D59,'Master Sheet'!$B:$AA,3,FALSE),"")</f>
        <v/>
      </c>
      <c r="H59" s="2"/>
      <c r="I59" s="2" t="str">
        <f>IFERROR(VLOOKUP($D59,'Master Sheet'!$B:$AA,2,FALSE),"")</f>
        <v/>
      </c>
      <c r="J59" s="34" t="str">
        <f>IFERROR(VLOOKUP($D59,'Master Sheet'!$B:$AA,5,FALSE),"")</f>
        <v/>
      </c>
      <c r="K59" s="35" t="str">
        <f>IFERROR(VLOOKUP($D59,'Master Sheet'!$B:$AA,8,FALSE),"")</f>
        <v/>
      </c>
      <c r="M59" s="9"/>
    </row>
    <row r="60" spans="1:13" ht="13.5" thickBot="1" x14ac:dyDescent="0.3">
      <c r="A60" s="10"/>
      <c r="B60" s="31"/>
      <c r="C60" s="46"/>
      <c r="D60" s="47" t="s">
        <v>867</v>
      </c>
      <c r="E60" s="48"/>
      <c r="F60" s="47"/>
      <c r="G60" s="49" t="str">
        <f>IFERROR(VLOOKUP($D60,'Master Sheet'!$B:$AA,3,FALSE),"")</f>
        <v/>
      </c>
      <c r="H60" s="47"/>
      <c r="I60" s="47" t="s">
        <v>868</v>
      </c>
      <c r="J60" s="61"/>
      <c r="K60" s="62" t="str">
        <f>IFERROR(VLOOKUP($D60,'Master Sheet'!$B:$AA,8,FALSE),"")</f>
        <v/>
      </c>
      <c r="M60" s="9"/>
    </row>
    <row r="61" spans="1:13" x14ac:dyDescent="0.25">
      <c r="A61" s="10"/>
      <c r="B61" s="31"/>
      <c r="C61" s="31"/>
      <c r="D61" s="32" t="s">
        <v>866</v>
      </c>
      <c r="E61" s="33"/>
      <c r="F61" s="2"/>
      <c r="G61" s="17" t="str">
        <f>IFERROR(VLOOKUP($D61,'Master Sheet'!$B:$AA,3,FALSE),"")</f>
        <v>Nikon NIKKOR Z 35MM F1.4 Z LENS</v>
      </c>
      <c r="H61" s="2"/>
      <c r="I61" s="2" t="str">
        <f>IFERROR(VLOOKUP($D61,'Master Sheet'!$B:$AA,2,FALSE),"")</f>
        <v>JMA112DA</v>
      </c>
      <c r="J61" s="34" t="str">
        <f>IFERROR(VLOOKUP($D61,'Master Sheet'!$B:$AA,5,FALSE),"")</f>
        <v>018208201266</v>
      </c>
      <c r="K61" s="35">
        <f>IFERROR(VLOOKUP($D61,'Master Sheet'!$B:$AA,8,FALSE),"")</f>
        <v>10178.955000000002</v>
      </c>
      <c r="M61" s="9"/>
    </row>
    <row r="62" spans="1:13" x14ac:dyDescent="0.25">
      <c r="A62" s="10"/>
      <c r="B62" s="31"/>
      <c r="C62" s="31"/>
      <c r="D62" s="32" t="s">
        <v>529</v>
      </c>
      <c r="E62" s="33"/>
      <c r="F62" s="2"/>
      <c r="G62" s="17" t="str">
        <f>IFERROR(VLOOKUP($D62,'Master Sheet'!$B:$AA,3,FALSE),"")</f>
        <v>62mm Z-Series Lens Cap</v>
      </c>
      <c r="H62" s="2"/>
      <c r="I62" s="2" t="str">
        <f>IFERROR(VLOOKUP($D62,'Master Sheet'!$B:$AA,2,FALSE),"")</f>
        <v>JMD00201</v>
      </c>
      <c r="J62" s="34" t="str">
        <f>IFERROR(VLOOKUP($D62,'Master Sheet'!$B:$AA,5,FALSE),"")</f>
        <v>4960759149893</v>
      </c>
      <c r="K62" s="35">
        <f>IFERROR(VLOOKUP($D62,'Master Sheet'!$B:$AA,8,FALSE),"")</f>
        <v>170.95499999999998</v>
      </c>
      <c r="M62" s="9"/>
    </row>
    <row r="63" spans="1:13" x14ac:dyDescent="0.25">
      <c r="A63" s="10"/>
      <c r="B63" s="31"/>
      <c r="C63" s="31"/>
      <c r="D63" s="32" t="s">
        <v>528</v>
      </c>
      <c r="E63" s="33"/>
      <c r="F63" s="2"/>
      <c r="G63" s="17" t="str">
        <f>IFERROR(VLOOKUP($D63,'Master Sheet'!$B:$AA,3,FALSE),"")</f>
        <v>LF-N1 Rear Lens Cap (Z-Series)</v>
      </c>
      <c r="H63" s="2"/>
      <c r="I63" s="2" t="str">
        <f>IFERROR(VLOOKUP($D63,'Master Sheet'!$B:$AA,2,FALSE),"")</f>
        <v>JMD00101</v>
      </c>
      <c r="J63" s="34" t="str">
        <f>IFERROR(VLOOKUP($D63,'Master Sheet'!$B:$AA,5,FALSE),"")</f>
        <v>018208041824</v>
      </c>
      <c r="K63" s="35">
        <f>IFERROR(VLOOKUP($D63,'Master Sheet'!$B:$AA,8,FALSE),"")</f>
        <v>107.955</v>
      </c>
      <c r="M63" s="9"/>
    </row>
    <row r="64" spans="1:13" x14ac:dyDescent="0.25">
      <c r="A64" s="10"/>
      <c r="B64" s="31"/>
      <c r="C64" s="31"/>
      <c r="D64" s="32" t="s">
        <v>69</v>
      </c>
      <c r="E64" s="33"/>
      <c r="F64" s="2"/>
      <c r="G64" s="17" t="str">
        <f>IFERROR(VLOOKUP($D64,'Master Sheet'!$B:$AA,3,FALSE),"")</f>
        <v>62MM FILTER NC NEUTRAL COLOUR</v>
      </c>
      <c r="H64" s="2"/>
      <c r="I64" s="2" t="str">
        <f>IFERROR(VLOOKUP($D64,'Master Sheet'!$B:$AA,2,FALSE),"")</f>
        <v>FTA11401</v>
      </c>
      <c r="J64" s="34" t="str">
        <f>IFERROR(VLOOKUP($D64,'Master Sheet'!$B:$AA,5,FALSE),"")</f>
        <v>018208024803</v>
      </c>
      <c r="K64" s="35">
        <f>IFERROR(VLOOKUP($D64,'Master Sheet'!$B:$AA,8,FALSE),"")</f>
        <v>710.95500000000004</v>
      </c>
      <c r="M64" s="9"/>
    </row>
    <row r="65" spans="1:13" x14ac:dyDescent="0.25">
      <c r="A65" s="10"/>
      <c r="B65" s="31"/>
      <c r="C65" s="31"/>
      <c r="D65" s="32" t="s">
        <v>70</v>
      </c>
      <c r="E65" s="33"/>
      <c r="F65" s="2"/>
      <c r="G65" s="17" t="str">
        <f>IFERROR(VLOOKUP($D65,'Master Sheet'!$B:$AA,3,FALSE),"")</f>
        <v xml:space="preserve">62MM C-PL II FILTER                  </v>
      </c>
      <c r="H65" s="2"/>
      <c r="I65" s="2" t="str">
        <f>IFERROR(VLOOKUP($D65,'Master Sheet'!$B:$AA,2,FALSE),"")</f>
        <v>FTA11501</v>
      </c>
      <c r="J65" s="34" t="str">
        <f>IFERROR(VLOOKUP($D65,'Master Sheet'!$B:$AA,5,FALSE),"")</f>
        <v>018208022526</v>
      </c>
      <c r="K65" s="35">
        <f>IFERROR(VLOOKUP($D65,'Master Sheet'!$B:$AA,8,FALSE),"")</f>
        <v>2447.9549999999999</v>
      </c>
      <c r="M65" s="9"/>
    </row>
    <row r="66" spans="1:13" ht="13.5" thickBot="1" x14ac:dyDescent="0.3">
      <c r="A66" s="10"/>
      <c r="B66" s="31"/>
      <c r="C66" s="31"/>
      <c r="D66" s="32"/>
      <c r="E66" s="33"/>
      <c r="F66" s="2"/>
      <c r="G66" s="17" t="str">
        <f>IFERROR(VLOOKUP($D66,'Master Sheet'!$B:$AA,3,FALSE),"")</f>
        <v/>
      </c>
      <c r="H66" s="2"/>
      <c r="I66" s="2" t="str">
        <f>IFERROR(VLOOKUP($D66,'Master Sheet'!$B:$AA,2,FALSE),"")</f>
        <v/>
      </c>
      <c r="J66" s="34" t="str">
        <f>IFERROR(VLOOKUP($D66,'Master Sheet'!$B:$AA,5,FALSE),"")</f>
        <v/>
      </c>
      <c r="K66" s="35" t="str">
        <f>IFERROR(VLOOKUP($D66,'Master Sheet'!$B:$AA,8,FALSE),"")</f>
        <v/>
      </c>
      <c r="M66" s="9"/>
    </row>
    <row r="67" spans="1:13" ht="13.5" thickBot="1" x14ac:dyDescent="0.3">
      <c r="A67" s="10"/>
      <c r="B67" s="31"/>
      <c r="C67" s="46"/>
      <c r="D67" s="47" t="s">
        <v>303</v>
      </c>
      <c r="E67" s="48"/>
      <c r="F67" s="47"/>
      <c r="G67" s="49" t="str">
        <f>IFERROR(VLOOKUP($D67,'Master Sheet'!$B:$AA,3,FALSE),"")</f>
        <v/>
      </c>
      <c r="H67" s="47"/>
      <c r="I67" s="47" t="s">
        <v>243</v>
      </c>
      <c r="J67" s="61" t="str">
        <f>IFERROR(VLOOKUP($D67,'Master Sheet'!$B:$AA,5,FALSE),"")</f>
        <v/>
      </c>
      <c r="K67" s="62" t="str">
        <f>IFERROR(VLOOKUP($D67,'Master Sheet'!$B:$AA,8,FALSE),"")</f>
        <v/>
      </c>
      <c r="M67" s="9"/>
    </row>
    <row r="68" spans="1:13" x14ac:dyDescent="0.25">
      <c r="A68" s="10"/>
      <c r="B68" s="31"/>
      <c r="C68" s="31"/>
      <c r="D68" s="32" t="s">
        <v>111</v>
      </c>
      <c r="E68" s="33"/>
      <c r="F68" s="2"/>
      <c r="G68" s="17" t="str">
        <f>IFERROR(VLOOKUP($D68,'Master Sheet'!$B:$AA,3,FALSE),"")</f>
        <v>Nikon NIKKOR Z 35MM F1.8 Z S LENS</v>
      </c>
      <c r="H68" s="2"/>
      <c r="I68" s="2" t="str">
        <f>IFERROR(VLOOKUP($D68,'Master Sheet'!$B:$AA,2,FALSE),"")</f>
        <v>JMA102DA</v>
      </c>
      <c r="J68" s="34" t="str">
        <f>IFERROR(VLOOKUP($D68,'Master Sheet'!$B:$AA,5,FALSE),"")</f>
        <v>018208200818</v>
      </c>
      <c r="K68" s="35">
        <f>IFERROR(VLOOKUP($D68,'Master Sheet'!$B:$AA,8,FALSE),"")</f>
        <v>15659.955000000002</v>
      </c>
      <c r="M68" s="9"/>
    </row>
    <row r="69" spans="1:13" x14ac:dyDescent="0.25">
      <c r="A69" s="10"/>
      <c r="B69" s="31"/>
      <c r="C69" s="31"/>
      <c r="D69" s="32" t="s">
        <v>529</v>
      </c>
      <c r="E69" s="33"/>
      <c r="F69" s="2"/>
      <c r="G69" s="17" t="str">
        <f>IFERROR(VLOOKUP($D69,'Master Sheet'!$B:$AA,3,FALSE),"")</f>
        <v>62mm Z-Series Lens Cap</v>
      </c>
      <c r="H69" s="2"/>
      <c r="I69" s="2" t="str">
        <f>IFERROR(VLOOKUP($D69,'Master Sheet'!$B:$AA,2,FALSE),"")</f>
        <v>JMD00201</v>
      </c>
      <c r="J69" s="34" t="str">
        <f>IFERROR(VLOOKUP($D69,'Master Sheet'!$B:$AA,5,FALSE),"")</f>
        <v>4960759149893</v>
      </c>
      <c r="K69" s="35">
        <f>IFERROR(VLOOKUP($D69,'Master Sheet'!$B:$AA,8,FALSE),"")</f>
        <v>170.95499999999998</v>
      </c>
      <c r="M69" s="9"/>
    </row>
    <row r="70" spans="1:13" x14ac:dyDescent="0.25">
      <c r="A70" s="10"/>
      <c r="B70" s="31"/>
      <c r="C70" s="31"/>
      <c r="D70" s="32" t="s">
        <v>528</v>
      </c>
      <c r="E70" s="33"/>
      <c r="F70" s="2"/>
      <c r="G70" s="17" t="str">
        <f>IFERROR(VLOOKUP($D70,'Master Sheet'!$B:$AA,3,FALSE),"")</f>
        <v>LF-N1 Rear Lens Cap (Z-Series)</v>
      </c>
      <c r="H70" s="2"/>
      <c r="I70" s="2" t="str">
        <f>IFERROR(VLOOKUP($D70,'Master Sheet'!$B:$AA,2,FALSE),"")</f>
        <v>JMD00101</v>
      </c>
      <c r="J70" s="34" t="str">
        <f>IFERROR(VLOOKUP($D70,'Master Sheet'!$B:$AA,5,FALSE),"")</f>
        <v>018208041824</v>
      </c>
      <c r="K70" s="35">
        <f>IFERROR(VLOOKUP($D70,'Master Sheet'!$B:$AA,8,FALSE),"")</f>
        <v>107.955</v>
      </c>
      <c r="M70" s="9"/>
    </row>
    <row r="71" spans="1:13" x14ac:dyDescent="0.25">
      <c r="A71" s="10"/>
      <c r="B71" s="31"/>
      <c r="C71" s="31"/>
      <c r="D71" s="32" t="s">
        <v>69</v>
      </c>
      <c r="E71" s="33"/>
      <c r="F71" s="2"/>
      <c r="G71" s="17" t="str">
        <f>IFERROR(VLOOKUP($D71,'Master Sheet'!$B:$AA,3,FALSE),"")</f>
        <v>62MM FILTER NC NEUTRAL COLOUR</v>
      </c>
      <c r="H71" s="2"/>
      <c r="I71" s="2" t="str">
        <f>IFERROR(VLOOKUP($D71,'Master Sheet'!$B:$AA,2,FALSE),"")</f>
        <v>FTA11401</v>
      </c>
      <c r="J71" s="34" t="str">
        <f>IFERROR(VLOOKUP($D71,'Master Sheet'!$B:$AA,5,FALSE),"")</f>
        <v>018208024803</v>
      </c>
      <c r="K71" s="35">
        <f>IFERROR(VLOOKUP($D71,'Master Sheet'!$B:$AA,8,FALSE),"")</f>
        <v>710.95500000000004</v>
      </c>
      <c r="M71" s="9"/>
    </row>
    <row r="72" spans="1:13" x14ac:dyDescent="0.25">
      <c r="A72" s="10"/>
      <c r="B72" s="31"/>
      <c r="C72" s="31"/>
      <c r="D72" s="32" t="s">
        <v>70</v>
      </c>
      <c r="E72" s="33"/>
      <c r="F72" s="2"/>
      <c r="G72" s="17" t="str">
        <f>IFERROR(VLOOKUP($D72,'Master Sheet'!$B:$AA,3,FALSE),"")</f>
        <v xml:space="preserve">62MM C-PL II FILTER                  </v>
      </c>
      <c r="H72" s="2"/>
      <c r="I72" s="2" t="str">
        <f>IFERROR(VLOOKUP($D72,'Master Sheet'!$B:$AA,2,FALSE),"")</f>
        <v>FTA11501</v>
      </c>
      <c r="J72" s="34" t="str">
        <f>IFERROR(VLOOKUP($D72,'Master Sheet'!$B:$AA,5,FALSE),"")</f>
        <v>018208022526</v>
      </c>
      <c r="K72" s="35">
        <f>IFERROR(VLOOKUP($D72,'Master Sheet'!$B:$AA,8,FALSE),"")</f>
        <v>2447.9549999999999</v>
      </c>
      <c r="M72" s="9"/>
    </row>
    <row r="73" spans="1:13" ht="13.5" thickBot="1" x14ac:dyDescent="0.3">
      <c r="A73" s="10"/>
      <c r="B73" s="31"/>
      <c r="C73" s="31"/>
      <c r="D73" s="32"/>
      <c r="E73" s="33"/>
      <c r="F73" s="2"/>
      <c r="G73" s="17" t="str">
        <f>IFERROR(VLOOKUP($D73,'Master Sheet'!$B:$AA,3,FALSE),"")</f>
        <v/>
      </c>
      <c r="H73" s="2"/>
      <c r="I73" s="2" t="str">
        <f>IFERROR(VLOOKUP($D73,'Master Sheet'!$B:$AA,2,FALSE),"")</f>
        <v/>
      </c>
      <c r="J73" s="34" t="str">
        <f>IFERROR(VLOOKUP($D73,'Master Sheet'!$B:$AA,5,FALSE),"")</f>
        <v/>
      </c>
      <c r="K73" s="35" t="str">
        <f>IFERROR(VLOOKUP($D73,'Master Sheet'!$B:$AA,8,FALSE),"")</f>
        <v/>
      </c>
      <c r="M73" s="9"/>
    </row>
    <row r="74" spans="1:13" ht="13.5" thickBot="1" x14ac:dyDescent="0.3">
      <c r="A74" s="10"/>
      <c r="B74" s="31"/>
      <c r="C74" s="46"/>
      <c r="D74" s="47" t="s">
        <v>465</v>
      </c>
      <c r="E74" s="48"/>
      <c r="F74" s="47"/>
      <c r="G74" s="49" t="str">
        <f>IFERROR(VLOOKUP($D74,'Master Sheet'!$B:$AA,3,FALSE),"")</f>
        <v/>
      </c>
      <c r="H74" s="47"/>
      <c r="I74" s="47" t="str">
        <f>IFERROR(VLOOKUP($D74,'Master Sheet'!$B:$AA,2,FALSE),"")</f>
        <v/>
      </c>
      <c r="J74" s="61" t="str">
        <f>IFERROR(VLOOKUP($D74,'Master Sheet'!$B:$AA,5,FALSE),"")</f>
        <v/>
      </c>
      <c r="K74" s="62" t="str">
        <f>IFERROR(VLOOKUP($D74,'Master Sheet'!$B:$AA,8,FALSE),"")</f>
        <v/>
      </c>
      <c r="M74" s="9"/>
    </row>
    <row r="75" spans="1:13" x14ac:dyDescent="0.25">
      <c r="A75" s="10"/>
      <c r="B75" s="31"/>
      <c r="C75" s="31"/>
      <c r="D75" s="32" t="s">
        <v>466</v>
      </c>
      <c r="E75" s="33"/>
      <c r="F75" s="2"/>
      <c r="G75" s="17" t="str">
        <f>IFERROR(VLOOKUP($D75,'Master Sheet'!$B:$AA,3,FALSE),"")</f>
        <v>Nikon NIKKOR Z 40mm f/2 Lens</v>
      </c>
      <c r="H75" s="2"/>
      <c r="I75" s="2" t="str">
        <f>IFERROR(VLOOKUP($D75,'Master Sheet'!$B:$AA,2,FALSE),"")</f>
        <v>JMA106DA</v>
      </c>
      <c r="J75" s="34" t="str">
        <f>IFERROR(VLOOKUP($D75,'Master Sheet'!$B:$AA,5,FALSE),"")</f>
        <v>018208201020</v>
      </c>
      <c r="K75" s="35">
        <f>IFERROR(VLOOKUP($D75,'Master Sheet'!$B:$AA,8,FALSE),"")</f>
        <v>5093.9549999999999</v>
      </c>
      <c r="M75" s="9"/>
    </row>
    <row r="76" spans="1:13" x14ac:dyDescent="0.25">
      <c r="A76" s="10"/>
      <c r="B76" s="31"/>
      <c r="C76" s="31"/>
      <c r="D76" s="32" t="s">
        <v>532</v>
      </c>
      <c r="E76" s="33"/>
      <c r="F76" s="2"/>
      <c r="G76" s="17" t="str">
        <f>IFERROR(VLOOKUP($D76,'Master Sheet'!$B:$AA,3,FALSE),"")</f>
        <v>52mm Z-Series Lens Cap</v>
      </c>
      <c r="H76" s="2"/>
      <c r="I76" s="2" t="str">
        <f>IFERROR(VLOOKUP($D76,'Master Sheet'!$B:$AA,2,FALSE),"")</f>
        <v>JMD01101</v>
      </c>
      <c r="J76" s="34" t="str">
        <f>IFERROR(VLOOKUP($D76,'Master Sheet'!$B:$AA,5,FALSE),"")</f>
        <v>018208042449</v>
      </c>
      <c r="K76" s="35">
        <f>IFERROR(VLOOKUP($D76,'Master Sheet'!$B:$AA,8,FALSE),"")</f>
        <v>116.955</v>
      </c>
      <c r="M76" s="9"/>
    </row>
    <row r="77" spans="1:13" x14ac:dyDescent="0.25">
      <c r="A77" s="10"/>
      <c r="B77" s="31"/>
      <c r="C77" s="31"/>
      <c r="D77" s="32" t="s">
        <v>528</v>
      </c>
      <c r="E77" s="33"/>
      <c r="F77" s="2"/>
      <c r="G77" s="17" t="str">
        <f>IFERROR(VLOOKUP($D77,'Master Sheet'!$B:$AA,3,FALSE),"")</f>
        <v>LF-N1 Rear Lens Cap (Z-Series)</v>
      </c>
      <c r="H77" s="2"/>
      <c r="I77" s="2" t="str">
        <f>IFERROR(VLOOKUP($D77,'Master Sheet'!$B:$AA,2,FALSE),"")</f>
        <v>JMD00101</v>
      </c>
      <c r="J77" s="34" t="str">
        <f>IFERROR(VLOOKUP($D77,'Master Sheet'!$B:$AA,5,FALSE),"")</f>
        <v>018208041824</v>
      </c>
      <c r="K77" s="35">
        <f>IFERROR(VLOOKUP($D77,'Master Sheet'!$B:$AA,8,FALSE),"")</f>
        <v>107.955</v>
      </c>
      <c r="M77" s="9"/>
    </row>
    <row r="78" spans="1:13" x14ac:dyDescent="0.25">
      <c r="A78" s="10"/>
      <c r="B78" s="31"/>
      <c r="C78" s="31"/>
      <c r="D78" s="32" t="s">
        <v>71</v>
      </c>
      <c r="E78" s="33"/>
      <c r="F78" s="2"/>
      <c r="G78" s="17" t="str">
        <f>IFERROR(VLOOKUP($D78,'Master Sheet'!$B:$AA,3,FALSE),"")</f>
        <v>52MM FILTER NC NEUTRAL COLOUR</v>
      </c>
      <c r="H78" s="2"/>
      <c r="I78" s="2" t="str">
        <f>IFERROR(VLOOKUP($D78,'Master Sheet'!$B:$AA,2,FALSE),"")</f>
        <v>FTA07701</v>
      </c>
      <c r="J78" s="34" t="str">
        <f>IFERROR(VLOOKUP($D78,'Master Sheet'!$B:$AA,5,FALSE),"")</f>
        <v>018208024797</v>
      </c>
      <c r="K78" s="35">
        <f>IFERROR(VLOOKUP($D78,'Master Sheet'!$B:$AA,8,FALSE),"")</f>
        <v>512.95500000000004</v>
      </c>
      <c r="M78" s="9"/>
    </row>
    <row r="79" spans="1:13" x14ac:dyDescent="0.25">
      <c r="A79" s="10"/>
      <c r="B79" s="31"/>
      <c r="C79" s="31"/>
      <c r="D79" s="32" t="s">
        <v>72</v>
      </c>
      <c r="E79" s="33"/>
      <c r="F79" s="2"/>
      <c r="G79" s="17" t="str">
        <f>IFERROR(VLOOKUP($D79,'Master Sheet'!$B:$AA,3,FALSE),"")</f>
        <v xml:space="preserve">52MM FILTER C-PL II             </v>
      </c>
      <c r="H79" s="2"/>
      <c r="I79" s="2" t="str">
        <f>IFERROR(VLOOKUP($D79,'Master Sheet'!$B:$AA,2,FALSE),"")</f>
        <v>FTA08001</v>
      </c>
      <c r="J79" s="34" t="str">
        <f>IFERROR(VLOOKUP($D79,'Master Sheet'!$B:$AA,5,FALSE),"")</f>
        <v>018208022335</v>
      </c>
      <c r="K79" s="35">
        <f>IFERROR(VLOOKUP($D79,'Master Sheet'!$B:$AA,8,FALSE),"")</f>
        <v>1736.9550000000002</v>
      </c>
      <c r="M79" s="9"/>
    </row>
    <row r="80" spans="1:13" ht="13.5" thickBot="1" x14ac:dyDescent="0.3">
      <c r="A80" s="10"/>
      <c r="B80" s="31"/>
      <c r="C80" s="31"/>
      <c r="D80" s="32"/>
      <c r="E80" s="33"/>
      <c r="F80" s="2"/>
      <c r="G80" s="17" t="str">
        <f>IFERROR(VLOOKUP($D80,'Master Sheet'!$B:$AA,3,FALSE),"")</f>
        <v/>
      </c>
      <c r="H80" s="2"/>
      <c r="I80" s="2" t="str">
        <f>IFERROR(VLOOKUP($D80,'Master Sheet'!$B:$AA,2,FALSE),"")</f>
        <v/>
      </c>
      <c r="J80" s="34" t="str">
        <f>IFERROR(VLOOKUP($D80,'Master Sheet'!$B:$AA,5,FALSE),"")</f>
        <v/>
      </c>
      <c r="K80" s="35" t="str">
        <f>IFERROR(VLOOKUP($D80,'Master Sheet'!$B:$AA,8,FALSE),"")</f>
        <v/>
      </c>
      <c r="M80" s="9"/>
    </row>
    <row r="81" spans="1:13" ht="13.5" thickBot="1" x14ac:dyDescent="0.3">
      <c r="A81" s="10"/>
      <c r="B81" s="31"/>
      <c r="C81" s="46"/>
      <c r="D81" s="47" t="s">
        <v>699</v>
      </c>
      <c r="E81" s="48"/>
      <c r="F81" s="47"/>
      <c r="G81" s="49" t="str">
        <f>IFERROR(VLOOKUP($D81,'Master Sheet'!$B:$AA,3,FALSE),"")</f>
        <v/>
      </c>
      <c r="H81" s="47"/>
      <c r="I81" s="47" t="str">
        <f>IFERROR(VLOOKUP($D81,'Master Sheet'!$B:$AA,2,FALSE),"")</f>
        <v/>
      </c>
      <c r="J81" s="61" t="str">
        <f>IFERROR(VLOOKUP($D81,'Master Sheet'!$B:$AA,5,FALSE),"")</f>
        <v/>
      </c>
      <c r="K81" s="62" t="str">
        <f>IFERROR(VLOOKUP($D81,'Master Sheet'!$B:$AA,8,FALSE),"")</f>
        <v/>
      </c>
      <c r="M81" s="9"/>
    </row>
    <row r="82" spans="1:13" x14ac:dyDescent="0.25">
      <c r="A82" s="10"/>
      <c r="B82" s="31"/>
      <c r="C82" s="31"/>
      <c r="D82" s="32" t="s">
        <v>683</v>
      </c>
      <c r="E82" s="33"/>
      <c r="F82" s="2"/>
      <c r="G82" s="17" t="str">
        <f>IFERROR(VLOOKUP($D82,'Master Sheet'!$B:$AA,3,FALSE),"")</f>
        <v>Nikon NIKKOR Z 40mm f/2 SE Lens</v>
      </c>
      <c r="H82" s="2"/>
      <c r="I82" s="2" t="str">
        <f>IFERROR(VLOOKUP($D82,'Master Sheet'!$B:$AA,2,FALSE),"")</f>
        <v>JMA110DA</v>
      </c>
      <c r="J82" s="34" t="str">
        <f>IFERROR(VLOOKUP($D82,'Master Sheet'!$B:$AA,5,FALSE),"")</f>
        <v>018208201211</v>
      </c>
      <c r="K82" s="35">
        <f>IFERROR(VLOOKUP($D82,'Master Sheet'!$B:$AA,8,FALSE),"")</f>
        <v>5093.9549999999999</v>
      </c>
      <c r="M82" s="9"/>
    </row>
    <row r="83" spans="1:13" x14ac:dyDescent="0.25">
      <c r="A83" s="10"/>
      <c r="B83" s="31"/>
      <c r="C83" s="31"/>
      <c r="D83" s="32" t="s">
        <v>532</v>
      </c>
      <c r="E83" s="33"/>
      <c r="F83" s="2"/>
      <c r="G83" s="17" t="str">
        <f>IFERROR(VLOOKUP($D83,'Master Sheet'!$B:$AA,3,FALSE),"")</f>
        <v>52mm Z-Series Lens Cap</v>
      </c>
      <c r="H83" s="2"/>
      <c r="I83" s="2" t="str">
        <f>IFERROR(VLOOKUP($D83,'Master Sheet'!$B:$AA,2,FALSE),"")</f>
        <v>JMD01101</v>
      </c>
      <c r="J83" s="34" t="str">
        <f>IFERROR(VLOOKUP($D83,'Master Sheet'!$B:$AA,5,FALSE),"")</f>
        <v>018208042449</v>
      </c>
      <c r="K83" s="35">
        <f>IFERROR(VLOOKUP($D83,'Master Sheet'!$B:$AA,8,FALSE),"")</f>
        <v>116.955</v>
      </c>
      <c r="M83" s="9"/>
    </row>
    <row r="84" spans="1:13" x14ac:dyDescent="0.25">
      <c r="A84" s="10"/>
      <c r="B84" s="31"/>
      <c r="C84" s="31"/>
      <c r="D84" s="32" t="s">
        <v>528</v>
      </c>
      <c r="E84" s="33"/>
      <c r="F84" s="2"/>
      <c r="G84" s="17" t="str">
        <f>IFERROR(VLOOKUP($D84,'Master Sheet'!$B:$AA,3,FALSE),"")</f>
        <v>LF-N1 Rear Lens Cap (Z-Series)</v>
      </c>
      <c r="H84" s="2"/>
      <c r="I84" s="2" t="str">
        <f>IFERROR(VLOOKUP($D84,'Master Sheet'!$B:$AA,2,FALSE),"")</f>
        <v>JMD00101</v>
      </c>
      <c r="J84" s="34" t="str">
        <f>IFERROR(VLOOKUP($D84,'Master Sheet'!$B:$AA,5,FALSE),"")</f>
        <v>018208041824</v>
      </c>
      <c r="K84" s="35">
        <f>IFERROR(VLOOKUP($D84,'Master Sheet'!$B:$AA,8,FALSE),"")</f>
        <v>107.955</v>
      </c>
      <c r="M84" s="9"/>
    </row>
    <row r="85" spans="1:13" x14ac:dyDescent="0.25">
      <c r="A85" s="10"/>
      <c r="B85" s="31"/>
      <c r="C85" s="31"/>
      <c r="D85" s="32" t="s">
        <v>71</v>
      </c>
      <c r="E85" s="33"/>
      <c r="F85" s="2"/>
      <c r="G85" s="17" t="str">
        <f>IFERROR(VLOOKUP($D85,'Master Sheet'!$B:$AA,3,FALSE),"")</f>
        <v>52MM FILTER NC NEUTRAL COLOUR</v>
      </c>
      <c r="H85" s="2"/>
      <c r="I85" s="2" t="str">
        <f>IFERROR(VLOOKUP($D85,'Master Sheet'!$B:$AA,2,FALSE),"")</f>
        <v>FTA07701</v>
      </c>
      <c r="J85" s="34" t="str">
        <f>IFERROR(VLOOKUP($D85,'Master Sheet'!$B:$AA,5,FALSE),"")</f>
        <v>018208024797</v>
      </c>
      <c r="K85" s="35">
        <f>IFERROR(VLOOKUP($D85,'Master Sheet'!$B:$AA,8,FALSE),"")</f>
        <v>512.95500000000004</v>
      </c>
      <c r="M85" s="9"/>
    </row>
    <row r="86" spans="1:13" x14ac:dyDescent="0.25">
      <c r="A86" s="10"/>
      <c r="B86" s="31"/>
      <c r="C86" s="31"/>
      <c r="D86" s="32" t="s">
        <v>72</v>
      </c>
      <c r="E86" s="33"/>
      <c r="F86" s="2"/>
      <c r="G86" s="17" t="str">
        <f>IFERROR(VLOOKUP($D86,'Master Sheet'!$B:$AA,3,FALSE),"")</f>
        <v xml:space="preserve">52MM FILTER C-PL II             </v>
      </c>
      <c r="H86" s="2"/>
      <c r="I86" s="2" t="str">
        <f>IFERROR(VLOOKUP($D86,'Master Sheet'!$B:$AA,2,FALSE),"")</f>
        <v>FTA08001</v>
      </c>
      <c r="J86" s="34" t="str">
        <f>IFERROR(VLOOKUP($D86,'Master Sheet'!$B:$AA,5,FALSE),"")</f>
        <v>018208022335</v>
      </c>
      <c r="K86" s="35">
        <f>IFERROR(VLOOKUP($D86,'Master Sheet'!$B:$AA,8,FALSE),"")</f>
        <v>1736.9550000000002</v>
      </c>
      <c r="M86" s="9"/>
    </row>
    <row r="87" spans="1:13" x14ac:dyDescent="0.25">
      <c r="A87" s="10"/>
      <c r="B87" s="31"/>
      <c r="C87" s="31"/>
      <c r="D87" s="32"/>
      <c r="E87" s="33"/>
      <c r="F87" s="2"/>
      <c r="H87" s="2"/>
      <c r="J87" s="34"/>
      <c r="K87" s="35"/>
      <c r="M87" s="9"/>
    </row>
    <row r="88" spans="1:13" ht="13.5" thickBot="1" x14ac:dyDescent="0.3">
      <c r="A88" s="10"/>
      <c r="B88" s="31"/>
      <c r="C88" s="31"/>
      <c r="D88" s="32"/>
      <c r="E88" s="33"/>
      <c r="F88" s="2"/>
      <c r="G88" s="17" t="str">
        <f>IFERROR(VLOOKUP($D88,'Master Sheet'!$B:$AA,3,FALSE),"")</f>
        <v/>
      </c>
      <c r="H88" s="2"/>
      <c r="I88" s="2" t="str">
        <f>IFERROR(VLOOKUP($D88,'Master Sheet'!$B:$AA,2,FALSE),"")</f>
        <v/>
      </c>
      <c r="J88" s="34" t="str">
        <f>IFERROR(VLOOKUP($D88,'Master Sheet'!$B:$AA,5,FALSE),"")</f>
        <v/>
      </c>
      <c r="K88" s="35" t="str">
        <f>IFERROR(VLOOKUP($D88,'Master Sheet'!$B:$AA,8,FALSE),"")</f>
        <v/>
      </c>
      <c r="M88" s="9"/>
    </row>
    <row r="89" spans="1:13" ht="15" customHeight="1" thickBot="1" x14ac:dyDescent="0.3">
      <c r="A89" s="10"/>
      <c r="B89" s="31"/>
      <c r="C89" s="31"/>
      <c r="D89" s="32"/>
      <c r="E89" s="36"/>
      <c r="F89" s="8"/>
      <c r="G89" s="96" t="s">
        <v>225</v>
      </c>
      <c r="H89" s="97"/>
      <c r="I89" s="97"/>
      <c r="J89" s="97"/>
      <c r="K89" s="98"/>
      <c r="M89" s="9"/>
    </row>
    <row r="90" spans="1:13" ht="13.5" thickBot="1" x14ac:dyDescent="0.3">
      <c r="A90" s="10"/>
      <c r="B90" s="31"/>
      <c r="C90" s="31"/>
      <c r="D90" s="38"/>
      <c r="E90" s="36"/>
      <c r="F90" s="8"/>
      <c r="G90" s="22"/>
      <c r="H90" s="8"/>
      <c r="J90" s="34"/>
      <c r="K90" s="35"/>
      <c r="M90" s="9"/>
    </row>
    <row r="91" spans="1:13" ht="13.5" thickBot="1" x14ac:dyDescent="0.3">
      <c r="A91" s="10"/>
      <c r="B91" s="31"/>
      <c r="C91" s="39" t="s">
        <v>48</v>
      </c>
      <c r="D91" s="40"/>
      <c r="E91" s="40"/>
      <c r="F91" s="55"/>
      <c r="G91" s="41" t="s">
        <v>643</v>
      </c>
      <c r="H91" s="55"/>
      <c r="I91" s="42" t="s">
        <v>52</v>
      </c>
      <c r="J91" s="43" t="s">
        <v>47</v>
      </c>
      <c r="K91" s="56" t="s">
        <v>943</v>
      </c>
      <c r="M91" s="9"/>
    </row>
    <row r="92" spans="1:13" ht="13.5" thickBot="1" x14ac:dyDescent="0.3">
      <c r="A92" s="10"/>
      <c r="B92" s="31"/>
      <c r="C92" s="31"/>
      <c r="D92" s="32"/>
      <c r="E92" s="33"/>
      <c r="F92" s="2"/>
      <c r="H92" s="2"/>
      <c r="J92" s="34"/>
      <c r="K92" s="35"/>
      <c r="M92" s="9"/>
    </row>
    <row r="93" spans="1:13" ht="13.5" thickBot="1" x14ac:dyDescent="0.3">
      <c r="A93" s="10"/>
      <c r="B93" s="31"/>
      <c r="C93" s="46"/>
      <c r="D93" s="47" t="s">
        <v>637</v>
      </c>
      <c r="E93" s="48"/>
      <c r="F93" s="47"/>
      <c r="G93" s="49"/>
      <c r="H93" s="47"/>
      <c r="I93" s="47" t="s">
        <v>700</v>
      </c>
      <c r="J93" s="61"/>
      <c r="K93" s="62"/>
      <c r="M93" s="9"/>
    </row>
    <row r="94" spans="1:13" x14ac:dyDescent="0.25">
      <c r="A94" s="10"/>
      <c r="B94" s="31"/>
      <c r="C94" s="31"/>
      <c r="D94" s="32" t="s">
        <v>635</v>
      </c>
      <c r="E94" s="33"/>
      <c r="F94" s="2"/>
      <c r="G94" s="17" t="str">
        <f>IFERROR(VLOOKUP($D94,'Master Sheet'!$B:$AA,3,FALSE),"")</f>
        <v>Nikon NIKKOR Z 12-28MM f3.5-6.3 VR PZ DX  Lens</v>
      </c>
      <c r="H94" s="2"/>
      <c r="I94" s="2" t="str">
        <f>IFERROR(VLOOKUP($D94,'Master Sheet'!$B:$AA,2,FALSE),"")</f>
        <v>JMA719DA</v>
      </c>
      <c r="J94" s="34" t="str">
        <f>IFERROR(VLOOKUP($D94,'Master Sheet'!$B:$AA,5,FALSE),"")</f>
        <v>018208201181</v>
      </c>
      <c r="K94" s="35">
        <f>IFERROR(VLOOKUP($D94,'Master Sheet'!$B:$AA,8,FALSE),"")</f>
        <v>6263.9549999999999</v>
      </c>
      <c r="M94" s="9"/>
    </row>
    <row r="95" spans="1:13" x14ac:dyDescent="0.25">
      <c r="A95" s="10"/>
      <c r="B95" s="31"/>
      <c r="C95" s="31"/>
      <c r="D95" s="32" t="s">
        <v>533</v>
      </c>
      <c r="E95" s="33"/>
      <c r="F95" s="2"/>
      <c r="G95" s="17" t="str">
        <f>IFERROR(VLOOKUP($D95,'Master Sheet'!$B:$AA,3,FALSE),"")</f>
        <v>67mm Z-Series Lens Cap</v>
      </c>
      <c r="H95" s="2"/>
      <c r="I95" s="2" t="str">
        <f>IFERROR(VLOOKUP($D95,'Master Sheet'!$B:$AA,2,FALSE),"")</f>
        <v>JMD00701</v>
      </c>
      <c r="J95" s="34" t="str">
        <f>IFERROR(VLOOKUP($D95,'Master Sheet'!$B:$AA,5,FALSE),"")</f>
        <v>018208042302</v>
      </c>
      <c r="K95" s="35">
        <f>IFERROR(VLOOKUP($D95,'Master Sheet'!$B:$AA,8,FALSE),"")</f>
        <v>161.95499999999998</v>
      </c>
      <c r="M95" s="9"/>
    </row>
    <row r="96" spans="1:13" x14ac:dyDescent="0.25">
      <c r="A96" s="10"/>
      <c r="B96" s="31"/>
      <c r="C96" s="31"/>
      <c r="D96" s="32" t="s">
        <v>528</v>
      </c>
      <c r="E96" s="33"/>
      <c r="F96" s="2"/>
      <c r="G96" s="17" t="str">
        <f>IFERROR(VLOOKUP($D96,'Master Sheet'!$B:$AA,3,FALSE),"")</f>
        <v>LF-N1 Rear Lens Cap (Z-Series)</v>
      </c>
      <c r="H96" s="2"/>
      <c r="I96" s="2" t="str">
        <f>IFERROR(VLOOKUP($D96,'Master Sheet'!$B:$AA,2,FALSE),"")</f>
        <v>JMD00101</v>
      </c>
      <c r="J96" s="34" t="str">
        <f>IFERROR(VLOOKUP($D96,'Master Sheet'!$B:$AA,5,FALSE),"")</f>
        <v>018208041824</v>
      </c>
      <c r="K96" s="35">
        <f>IFERROR(VLOOKUP($D96,'Master Sheet'!$B:$AA,8,FALSE),"")</f>
        <v>107.955</v>
      </c>
      <c r="M96" s="9"/>
    </row>
    <row r="97" spans="1:13" x14ac:dyDescent="0.25">
      <c r="A97" s="10"/>
      <c r="B97" s="31"/>
      <c r="C97" s="31"/>
      <c r="D97" s="32" t="s">
        <v>67</v>
      </c>
      <c r="E97" s="33"/>
      <c r="F97" s="2"/>
      <c r="G97" s="17" t="str">
        <f>IFERROR(VLOOKUP($D97,'Master Sheet'!$B:$AA,3,FALSE),"")</f>
        <v>67MM FILTER NC NEUTRAL COLOUR</v>
      </c>
      <c r="H97" s="2"/>
      <c r="I97" s="2" t="str">
        <f>IFERROR(VLOOKUP($D97,'Master Sheet'!$B:$AA,2,FALSE),"")</f>
        <v>FTA13101</v>
      </c>
      <c r="J97" s="34" t="str">
        <f>IFERROR(VLOOKUP($D97,'Master Sheet'!$B:$AA,5,FALSE),"")</f>
        <v>018208022885</v>
      </c>
      <c r="K97" s="35">
        <f>IFERROR(VLOOKUP($D97,'Master Sheet'!$B:$AA,8,FALSE),"")</f>
        <v>863.95500000000004</v>
      </c>
      <c r="M97" s="9"/>
    </row>
    <row r="98" spans="1:13" x14ac:dyDescent="0.25">
      <c r="A98" s="10"/>
      <c r="B98" s="31"/>
      <c r="C98" s="31"/>
      <c r="D98" s="32" t="s">
        <v>68</v>
      </c>
      <c r="E98" s="33"/>
      <c r="F98" s="2"/>
      <c r="G98" s="17" t="str">
        <f>IFERROR(VLOOKUP($D98,'Master Sheet'!$B:$AA,3,FALSE),"")</f>
        <v xml:space="preserve">67MM FILTER C-PL II             </v>
      </c>
      <c r="H98" s="2"/>
      <c r="I98" s="2" t="str">
        <f>IFERROR(VLOOKUP($D98,'Master Sheet'!$B:$AA,2,FALSE),"")</f>
        <v>FTA13201</v>
      </c>
      <c r="J98" s="34" t="str">
        <f>IFERROR(VLOOKUP($D98,'Master Sheet'!$B:$AA,5,FALSE),"")</f>
        <v>018208022557</v>
      </c>
      <c r="K98" s="35">
        <f>IFERROR(VLOOKUP($D98,'Master Sheet'!$B:$AA,8,FALSE),"")</f>
        <v>2798.9549999999999</v>
      </c>
      <c r="M98" s="9"/>
    </row>
    <row r="99" spans="1:13" ht="13.5" thickBot="1" x14ac:dyDescent="0.3">
      <c r="A99" s="10"/>
      <c r="B99" s="31"/>
      <c r="C99" s="31"/>
      <c r="D99" s="32"/>
      <c r="E99" s="33"/>
      <c r="F99" s="2"/>
      <c r="G99" s="17" t="str">
        <f>IFERROR(VLOOKUP($D99,'Master Sheet'!$B:$AA,3,FALSE),"")</f>
        <v/>
      </c>
      <c r="H99" s="2"/>
      <c r="I99" s="2" t="str">
        <f>IFERROR(VLOOKUP($D99,'Master Sheet'!$B:$AA,2,FALSE),"")</f>
        <v/>
      </c>
      <c r="J99" s="34" t="str">
        <f>IFERROR(VLOOKUP($D99,'Master Sheet'!$B:$AA,5,FALSE),"")</f>
        <v/>
      </c>
      <c r="K99" s="35" t="str">
        <f>IFERROR(VLOOKUP($D99,'Master Sheet'!$B:$AA,8,FALSE),"")</f>
        <v/>
      </c>
      <c r="M99" s="9"/>
    </row>
    <row r="100" spans="1:13" ht="13.5" thickBot="1" x14ac:dyDescent="0.3">
      <c r="A100" s="10"/>
      <c r="B100" s="31"/>
      <c r="C100" s="46"/>
      <c r="D100" s="47" t="s">
        <v>396</v>
      </c>
      <c r="E100" s="48"/>
      <c r="F100" s="47"/>
      <c r="G100" s="49" t="str">
        <f>IFERROR(VLOOKUP($D100,'Master Sheet'!$B:$AA,3,FALSE),"")</f>
        <v/>
      </c>
      <c r="H100" s="47"/>
      <c r="I100" s="47" t="s">
        <v>402</v>
      </c>
      <c r="J100" s="61" t="str">
        <f>IFERROR(VLOOKUP($D100,'Master Sheet'!$B:$AA,5,FALSE),"")</f>
        <v/>
      </c>
      <c r="K100" s="62" t="str">
        <f>IFERROR(VLOOKUP($D100,'Master Sheet'!$B:$AA,8,FALSE),"")</f>
        <v/>
      </c>
      <c r="M100" s="9"/>
    </row>
    <row r="101" spans="1:13" x14ac:dyDescent="0.25">
      <c r="A101" s="10"/>
      <c r="B101" s="31"/>
      <c r="C101" s="31"/>
      <c r="D101" s="32" t="s">
        <v>407</v>
      </c>
      <c r="E101" s="33"/>
      <c r="F101" s="2"/>
      <c r="G101" s="17" t="str">
        <f>IFERROR(VLOOKUP($D101,'Master Sheet'!$B:$AA,3,FALSE),"")</f>
        <v>Nikon NIKKOR Z 14-24mm f/2.8 S Lens</v>
      </c>
      <c r="H101" s="2"/>
      <c r="I101" s="2" t="str">
        <f>IFERROR(VLOOKUP($D101,'Master Sheet'!$B:$AA,2,FALSE),"")</f>
        <v>JMA711DA</v>
      </c>
      <c r="J101" s="34" t="str">
        <f>IFERROR(VLOOKUP($D101,'Master Sheet'!$B:$AA,5,FALSE),"")</f>
        <v>018208200979</v>
      </c>
      <c r="K101" s="35">
        <f>IFERROR(VLOOKUP($D101,'Master Sheet'!$B:$AA,8,FALSE),"")</f>
        <v>39131.955000000002</v>
      </c>
      <c r="M101" s="9"/>
    </row>
    <row r="102" spans="1:13" x14ac:dyDescent="0.25">
      <c r="A102" s="10"/>
      <c r="B102" s="31"/>
      <c r="C102" s="31"/>
      <c r="D102" s="32" t="s">
        <v>528</v>
      </c>
      <c r="E102" s="33"/>
      <c r="F102" s="2"/>
      <c r="G102" s="17" t="str">
        <f>IFERROR(VLOOKUP($D102,'Master Sheet'!$B:$AA,3,FALSE),"")</f>
        <v>LF-N1 Rear Lens Cap (Z-Series)</v>
      </c>
      <c r="H102" s="2"/>
      <c r="I102" s="2" t="str">
        <f>IFERROR(VLOOKUP($D102,'Master Sheet'!$B:$AA,2,FALSE),"")</f>
        <v>JMD00101</v>
      </c>
      <c r="J102" s="34" t="str">
        <f>IFERROR(VLOOKUP($D102,'Master Sheet'!$B:$AA,5,FALSE),"")</f>
        <v>018208041824</v>
      </c>
      <c r="K102" s="35">
        <f>IFERROR(VLOOKUP($D102,'Master Sheet'!$B:$AA,8,FALSE),"")</f>
        <v>107.955</v>
      </c>
      <c r="M102" s="9"/>
    </row>
    <row r="103" spans="1:13" x14ac:dyDescent="0.25">
      <c r="A103" s="10"/>
      <c r="B103" s="31"/>
      <c r="C103" s="31"/>
      <c r="D103" s="32" t="s">
        <v>511</v>
      </c>
      <c r="E103" s="33"/>
      <c r="F103" s="2"/>
      <c r="G103" s="17" t="str">
        <f>IFERROR(VLOOKUP($D103,'Master Sheet'!$B:$AA,3,FALSE),"")</f>
        <v>112MM NC FILTER</v>
      </c>
      <c r="H103" s="2"/>
      <c r="I103" s="2" t="str">
        <f>IFERROR(VLOOKUP($D103,'Master Sheet'!$B:$AA,2,FALSE),"")</f>
        <v>FTA71101</v>
      </c>
      <c r="J103" s="34" t="str">
        <f>IFERROR(VLOOKUP($D103,'Master Sheet'!$B:$AA,5,FALSE),"")</f>
        <v>018208042517</v>
      </c>
      <c r="K103" s="35">
        <f>IFERROR(VLOOKUP($D103,'Master Sheet'!$B:$AA,8,FALSE),"")</f>
        <v>8378.9550000000017</v>
      </c>
      <c r="M103" s="9"/>
    </row>
    <row r="104" spans="1:13" x14ac:dyDescent="0.25">
      <c r="A104" s="10"/>
      <c r="B104" s="31"/>
      <c r="C104" s="31"/>
      <c r="D104" s="32" t="s">
        <v>512</v>
      </c>
      <c r="E104" s="33"/>
      <c r="F104" s="2"/>
      <c r="G104" s="17" t="str">
        <f>IFERROR(VLOOKUP($D104,'Master Sheet'!$B:$AA,3,FALSE),"")</f>
        <v>112MM CPL 2 FILTER</v>
      </c>
      <c r="H104" s="2"/>
      <c r="I104" s="2" t="str">
        <f>IFERROR(VLOOKUP($D104,'Master Sheet'!$B:$AA,2,FALSE),"")</f>
        <v>FTA71201</v>
      </c>
      <c r="J104" s="34" t="str">
        <f>IFERROR(VLOOKUP($D104,'Master Sheet'!$B:$AA,5,FALSE),"")</f>
        <v>No Barcode</v>
      </c>
      <c r="K104" s="35">
        <f>IFERROR(VLOOKUP($D104,'Master Sheet'!$B:$AA,8,FALSE),"")</f>
        <v>12248.955000000002</v>
      </c>
      <c r="M104" s="9"/>
    </row>
    <row r="105" spans="1:13" ht="13.5" thickBot="1" x14ac:dyDescent="0.3">
      <c r="A105" s="10"/>
      <c r="B105" s="31"/>
      <c r="C105" s="31"/>
      <c r="D105" s="32"/>
      <c r="E105" s="33"/>
      <c r="F105" s="2"/>
      <c r="G105" s="17" t="str">
        <f>IFERROR(VLOOKUP($D105,'Master Sheet'!$B:$AA,3,FALSE),"")</f>
        <v/>
      </c>
      <c r="H105" s="2"/>
      <c r="I105" s="2" t="str">
        <f>IFERROR(VLOOKUP($D105,'Master Sheet'!$B:$AA,2,FALSE),"")</f>
        <v/>
      </c>
      <c r="J105" s="34" t="str">
        <f>IFERROR(VLOOKUP($D105,'Master Sheet'!$B:$AA,5,FALSE),"")</f>
        <v/>
      </c>
      <c r="K105" s="35" t="str">
        <f>IFERROR(VLOOKUP($D105,'Master Sheet'!$B:$AA,8,FALSE),"")</f>
        <v/>
      </c>
      <c r="M105" s="9"/>
    </row>
    <row r="106" spans="1:13" ht="13.5" thickBot="1" x14ac:dyDescent="0.3">
      <c r="A106" s="10"/>
      <c r="B106" s="31"/>
      <c r="C106" s="46"/>
      <c r="D106" s="47" t="s">
        <v>250</v>
      </c>
      <c r="E106" s="48"/>
      <c r="F106" s="47"/>
      <c r="G106" s="49" t="str">
        <f>IFERROR(VLOOKUP($D106,'Master Sheet'!$B:$AA,3,FALSE),"")</f>
        <v/>
      </c>
      <c r="H106" s="47"/>
      <c r="I106" s="47" t="s">
        <v>236</v>
      </c>
      <c r="J106" s="61" t="str">
        <f>IFERROR(VLOOKUP($D106,'Master Sheet'!$B:$AA,5,FALSE),"")</f>
        <v/>
      </c>
      <c r="K106" s="62" t="str">
        <f>IFERROR(VLOOKUP($D106,'Master Sheet'!$B:$AA,8,FALSE),"")</f>
        <v/>
      </c>
      <c r="M106" s="9"/>
    </row>
    <row r="107" spans="1:13" x14ac:dyDescent="0.25">
      <c r="A107" s="10"/>
      <c r="B107" s="31"/>
      <c r="C107" s="31"/>
      <c r="D107" s="32" t="s">
        <v>104</v>
      </c>
      <c r="E107" s="33"/>
      <c r="F107" s="2"/>
      <c r="G107" s="17" t="str">
        <f>IFERROR(VLOOKUP($D107,'Master Sheet'!$B:$AA,3,FALSE),"")</f>
        <v>Nikon NIKKOR Z 14-30mm f/4 S Lens</v>
      </c>
      <c r="H107" s="2"/>
      <c r="I107" s="2" t="str">
        <f>IFERROR(VLOOKUP($D107,'Master Sheet'!$B:$AA,2,FALSE),"")</f>
        <v>JMA705DA</v>
      </c>
      <c r="J107" s="34" t="str">
        <f>IFERROR(VLOOKUP($D107,'Master Sheet'!$B:$AA,5,FALSE),"")</f>
        <v>018208200702</v>
      </c>
      <c r="K107" s="35">
        <f>IFERROR(VLOOKUP($D107,'Master Sheet'!$B:$AA,8,FALSE),"")</f>
        <v>23480.955000000002</v>
      </c>
      <c r="M107" s="9"/>
    </row>
    <row r="108" spans="1:13" x14ac:dyDescent="0.25">
      <c r="A108" s="10"/>
      <c r="B108" s="31"/>
      <c r="C108" s="31"/>
      <c r="D108" s="32" t="s">
        <v>530</v>
      </c>
      <c r="E108" s="33"/>
      <c r="F108" s="2"/>
      <c r="G108" s="17" t="str">
        <f>IFERROR(VLOOKUP($D108,'Master Sheet'!$B:$AA,3,FALSE),"")</f>
        <v>82mm Z-Series Lens Cap</v>
      </c>
      <c r="H108" s="2"/>
      <c r="I108" s="2" t="str">
        <f>IFERROR(VLOOKUP($D108,'Master Sheet'!$B:$AA,2,FALSE),"")</f>
        <v>JMD00401</v>
      </c>
      <c r="J108" s="34" t="str">
        <f>IFERROR(VLOOKUP($D108,'Master Sheet'!$B:$AA,5,FALSE),"")</f>
        <v>4960759149916</v>
      </c>
      <c r="K108" s="35">
        <f>IFERROR(VLOOKUP($D108,'Master Sheet'!$B:$AA,8,FALSE),"")</f>
        <v>278.95499999999998</v>
      </c>
      <c r="M108" s="9"/>
    </row>
    <row r="109" spans="1:13" x14ac:dyDescent="0.25">
      <c r="A109" s="10"/>
      <c r="B109" s="31"/>
      <c r="C109" s="31"/>
      <c r="D109" s="32" t="s">
        <v>528</v>
      </c>
      <c r="E109" s="33"/>
      <c r="F109" s="2"/>
      <c r="G109" s="17" t="str">
        <f>IFERROR(VLOOKUP($D109,'Master Sheet'!$B:$AA,3,FALSE),"")</f>
        <v>LF-N1 Rear Lens Cap (Z-Series)</v>
      </c>
      <c r="H109" s="2"/>
      <c r="I109" s="2" t="str">
        <f>IFERROR(VLOOKUP($D109,'Master Sheet'!$B:$AA,2,FALSE),"")</f>
        <v>JMD00101</v>
      </c>
      <c r="J109" s="34" t="str">
        <f>IFERROR(VLOOKUP($D109,'Master Sheet'!$B:$AA,5,FALSE),"")</f>
        <v>018208041824</v>
      </c>
      <c r="K109" s="35">
        <f>IFERROR(VLOOKUP($D109,'Master Sheet'!$B:$AA,8,FALSE),"")</f>
        <v>107.955</v>
      </c>
      <c r="M109" s="9"/>
    </row>
    <row r="110" spans="1:13" x14ac:dyDescent="0.25">
      <c r="A110" s="10"/>
      <c r="B110" s="31"/>
      <c r="C110" s="31"/>
      <c r="D110" s="32" t="s">
        <v>73</v>
      </c>
      <c r="E110" s="33"/>
      <c r="F110" s="2"/>
      <c r="G110" s="17" t="str">
        <f>IFERROR(VLOOKUP($D110,'Master Sheet'!$B:$AA,3,FALSE),"")</f>
        <v xml:space="preserve">82MM FILTER NC NEUTRAL COLOUR </v>
      </c>
      <c r="H110" s="2"/>
      <c r="I110" s="2" t="str">
        <f>IFERROR(VLOOKUP($D110,'Master Sheet'!$B:$AA,2,FALSE),"")</f>
        <v>FTA70401</v>
      </c>
      <c r="J110" s="34" t="str">
        <f>IFERROR(VLOOKUP($D110,'Master Sheet'!$B:$AA,5,FALSE),"")</f>
        <v>018208024971</v>
      </c>
      <c r="K110" s="35">
        <f>IFERROR(VLOOKUP($D110,'Master Sheet'!$B:$AA,8,FALSE),"")</f>
        <v>1826.9550000000002</v>
      </c>
      <c r="M110" s="9"/>
    </row>
    <row r="111" spans="1:13" x14ac:dyDescent="0.25">
      <c r="A111" s="10"/>
      <c r="B111" s="31"/>
      <c r="C111" s="31"/>
      <c r="D111" s="32" t="s">
        <v>74</v>
      </c>
      <c r="E111" s="33"/>
      <c r="F111" s="2"/>
      <c r="G111" s="17" t="str">
        <f>IFERROR(VLOOKUP($D111,'Master Sheet'!$B:$AA,3,FALSE),"")</f>
        <v xml:space="preserve">82MM FILTER C-PL II </v>
      </c>
      <c r="H111" s="2"/>
      <c r="I111" s="2" t="str">
        <f>IFERROR(VLOOKUP($D111,'Master Sheet'!$B:$AA,2,FALSE),"")</f>
        <v>FTA70501</v>
      </c>
      <c r="J111" s="34" t="str">
        <f>IFERROR(VLOOKUP($D111,'Master Sheet'!$B:$AA,5,FALSE),"")</f>
        <v>018208024988</v>
      </c>
      <c r="K111" s="35">
        <f>IFERROR(VLOOKUP($D111,'Master Sheet'!$B:$AA,8,FALSE),"")</f>
        <v>3680.9549999999999</v>
      </c>
      <c r="M111" s="9"/>
    </row>
    <row r="112" spans="1:13" ht="13.5" thickBot="1" x14ac:dyDescent="0.3">
      <c r="A112" s="10"/>
      <c r="B112" s="31"/>
      <c r="C112" s="31"/>
      <c r="D112" s="32"/>
      <c r="E112" s="33"/>
      <c r="F112" s="2"/>
      <c r="G112" s="17" t="str">
        <f>IFERROR(VLOOKUP($D112,'Master Sheet'!$B:$AA,3,FALSE),"")</f>
        <v/>
      </c>
      <c r="H112" s="2"/>
      <c r="I112" s="2" t="str">
        <f>IFERROR(VLOOKUP($D112,'Master Sheet'!$B:$AA,2,FALSE),"")</f>
        <v/>
      </c>
      <c r="J112" s="34" t="str">
        <f>IFERROR(VLOOKUP($D112,'Master Sheet'!$B:$AA,5,FALSE),"")</f>
        <v/>
      </c>
      <c r="K112" s="35" t="str">
        <f>IFERROR(VLOOKUP($D112,'Master Sheet'!$B:$AA,8,FALSE),"")</f>
        <v/>
      </c>
      <c r="M112" s="9"/>
    </row>
    <row r="113" spans="1:13" ht="13.5" thickBot="1" x14ac:dyDescent="0.3">
      <c r="A113" s="10"/>
      <c r="B113" s="31"/>
      <c r="C113" s="46"/>
      <c r="D113" s="47" t="s">
        <v>638</v>
      </c>
      <c r="E113" s="48"/>
      <c r="F113" s="47"/>
      <c r="G113" s="49" t="str">
        <f>IFERROR(VLOOKUP($D113,'Master Sheet'!$B:$AA,3,FALSE),"")</f>
        <v/>
      </c>
      <c r="H113" s="47"/>
      <c r="I113" s="47" t="s">
        <v>238</v>
      </c>
      <c r="J113" s="61" t="str">
        <f>IFERROR(VLOOKUP($D113,'Master Sheet'!$B:$AA,5,FALSE),"")</f>
        <v/>
      </c>
      <c r="K113" s="62" t="str">
        <f>IFERROR(VLOOKUP($D113,'Master Sheet'!$B:$AA,8,FALSE),"")</f>
        <v/>
      </c>
      <c r="M113" s="9"/>
    </row>
    <row r="114" spans="1:13" x14ac:dyDescent="0.25">
      <c r="A114" s="10"/>
      <c r="B114" s="31"/>
      <c r="C114" s="31"/>
      <c r="D114" s="32" t="s">
        <v>105</v>
      </c>
      <c r="E114" s="33"/>
      <c r="F114" s="2"/>
      <c r="G114" s="17" t="str">
        <f>IFERROR(VLOOKUP($D114,'Master Sheet'!$B:$AA,3,FALSE),"")</f>
        <v>Nikon NIKKOR Z 16-50MM f3.5-6.3 VR DX  Lens</v>
      </c>
      <c r="H114" s="2"/>
      <c r="I114" s="2" t="str">
        <f>IFERROR(VLOOKUP($D114,'Master Sheet'!$B:$AA,2,FALSE),"")</f>
        <v>JMA706DA</v>
      </c>
      <c r="J114" s="34" t="str">
        <f>IFERROR(VLOOKUP($D114,'Master Sheet'!$B:$AA,5,FALSE),"")</f>
        <v>018208200849</v>
      </c>
      <c r="K114" s="35">
        <f>IFERROR(VLOOKUP($D114,'Master Sheet'!$B:$AA,8,FALSE),"")</f>
        <v>3545.9549999999999</v>
      </c>
      <c r="M114" s="9"/>
    </row>
    <row r="115" spans="1:13" x14ac:dyDescent="0.25">
      <c r="A115" s="10"/>
      <c r="B115" s="31"/>
      <c r="C115" s="31"/>
      <c r="D115" s="32" t="s">
        <v>452</v>
      </c>
      <c r="E115" s="33"/>
      <c r="F115" s="2"/>
      <c r="G115" s="2" t="str">
        <f>IFERROR(VLOOKUP($D115,'Master Sheet'!$B:$AA,3,FALSE),"")</f>
        <v>Nikon NIKKOR Z 16-50MM f3.5-6.3 VR DX  Lens (Silver)</v>
      </c>
      <c r="H115" s="2"/>
      <c r="I115" s="2" t="str">
        <f>IFERROR(VLOOKUP($D115,'Master Sheet'!$B:$AA,2,FALSE),"")</f>
        <v>JMA715DA</v>
      </c>
      <c r="J115" s="34" t="str">
        <f>IFERROR(VLOOKUP($D115,'Master Sheet'!$B:$AA,5,FALSE),"")</f>
        <v>018208201099</v>
      </c>
      <c r="K115" s="35">
        <f>IFERROR(VLOOKUP($D115,'Master Sheet'!$B:$AA,8,FALSE),"")</f>
        <v>3545.9549999999999</v>
      </c>
      <c r="M115" s="9"/>
    </row>
    <row r="116" spans="1:13" x14ac:dyDescent="0.25">
      <c r="A116" s="10"/>
      <c r="B116" s="31"/>
      <c r="C116" s="31"/>
      <c r="D116" s="32" t="s">
        <v>531</v>
      </c>
      <c r="E116" s="33"/>
      <c r="F116" s="2"/>
      <c r="G116" s="17" t="str">
        <f>IFERROR(VLOOKUP($D116,'Master Sheet'!$B:$AA,3,FALSE),"")</f>
        <v>46mm Z-Series Lens Cap</v>
      </c>
      <c r="H116" s="2"/>
      <c r="I116" s="2" t="str">
        <f>IFERROR(VLOOKUP($D116,'Master Sheet'!$B:$AA,2,FALSE),"")</f>
        <v>JMD00501</v>
      </c>
      <c r="J116" s="34" t="str">
        <f>IFERROR(VLOOKUP($D116,'Master Sheet'!$B:$AA,5,FALSE),"")</f>
        <v>018208042098</v>
      </c>
      <c r="K116" s="35">
        <f>IFERROR(VLOOKUP($D116,'Master Sheet'!$B:$AA,8,FALSE),"")</f>
        <v>98.954999999999998</v>
      </c>
      <c r="M116" s="9"/>
    </row>
    <row r="117" spans="1:13" x14ac:dyDescent="0.25">
      <c r="A117" s="10"/>
      <c r="B117" s="31"/>
      <c r="C117" s="31"/>
      <c r="D117" s="32" t="s">
        <v>528</v>
      </c>
      <c r="E117" s="33"/>
      <c r="F117" s="2"/>
      <c r="G117" s="17" t="str">
        <f>IFERROR(VLOOKUP($D117,'Master Sheet'!$B:$AA,3,FALSE),"")</f>
        <v>LF-N1 Rear Lens Cap (Z-Series)</v>
      </c>
      <c r="H117" s="2"/>
      <c r="I117" s="2" t="str">
        <f>IFERROR(VLOOKUP($D117,'Master Sheet'!$B:$AA,2,FALSE),"")</f>
        <v>JMD00101</v>
      </c>
      <c r="J117" s="34" t="str">
        <f>IFERROR(VLOOKUP($D117,'Master Sheet'!$B:$AA,5,FALSE),"")</f>
        <v>018208041824</v>
      </c>
      <c r="K117" s="35">
        <f>IFERROR(VLOOKUP($D117,'Master Sheet'!$B:$AA,8,FALSE),"")</f>
        <v>107.955</v>
      </c>
      <c r="M117" s="9"/>
    </row>
    <row r="118" spans="1:13" x14ac:dyDescent="0.25">
      <c r="A118" s="10"/>
      <c r="B118" s="31"/>
      <c r="C118" s="31"/>
      <c r="D118" s="32" t="s">
        <v>463</v>
      </c>
      <c r="E118" s="33"/>
      <c r="F118" s="2"/>
      <c r="G118" s="17" t="str">
        <f>IFERROR(VLOOKUP($D118,'Master Sheet'!$B:$AA,3,FALSE),"")</f>
        <v>46MM FILTER NC NEUTRAL COLOUR</v>
      </c>
      <c r="H118" s="2"/>
      <c r="I118" s="2" t="str">
        <f>IFERROR(VLOOKUP($D118,'Master Sheet'!$B:$AA,2,FALSE),"")</f>
        <v>FTA71001</v>
      </c>
      <c r="J118" s="34" t="str">
        <f>IFERROR(VLOOKUP($D118,'Master Sheet'!$B:$AA,5,FALSE),"")</f>
        <v>018208024940</v>
      </c>
      <c r="K118" s="35">
        <f>IFERROR(VLOOKUP($D118,'Master Sheet'!$B:$AA,8,FALSE),"")</f>
        <v>377.95499999999998</v>
      </c>
      <c r="M118" s="9"/>
    </row>
    <row r="119" spans="1:13" ht="13.5" thickBot="1" x14ac:dyDescent="0.3">
      <c r="A119" s="10"/>
      <c r="B119" s="31"/>
      <c r="C119" s="31"/>
      <c r="D119" s="32"/>
      <c r="E119" s="33"/>
      <c r="F119" s="2"/>
      <c r="G119" s="17" t="str">
        <f>IFERROR(VLOOKUP($D119,'Master Sheet'!$B:$AA,3,FALSE),"")</f>
        <v/>
      </c>
      <c r="H119" s="2"/>
      <c r="I119" s="2" t="str">
        <f>IFERROR(VLOOKUP($D119,'Master Sheet'!$B:$AA,2,FALSE),"")</f>
        <v/>
      </c>
      <c r="J119" s="34" t="str">
        <f>IFERROR(VLOOKUP($D119,'Master Sheet'!$B:$AA,5,FALSE),"")</f>
        <v/>
      </c>
      <c r="K119" s="35" t="str">
        <f>IFERROR(VLOOKUP($D119,'Master Sheet'!$B:$AA,8,FALSE),"")</f>
        <v/>
      </c>
      <c r="M119" s="9"/>
    </row>
    <row r="120" spans="1:13" ht="13.5" thickBot="1" x14ac:dyDescent="0.3">
      <c r="A120" s="10"/>
      <c r="B120" s="31"/>
      <c r="C120" s="46"/>
      <c r="D120" s="47" t="s">
        <v>602</v>
      </c>
      <c r="E120" s="48"/>
      <c r="F120" s="47"/>
      <c r="G120" s="49" t="str">
        <f>IFERROR(VLOOKUP($D120,'Master Sheet'!$B:$AA,3,FALSE),"")</f>
        <v/>
      </c>
      <c r="H120" s="47"/>
      <c r="I120" s="47" t="s">
        <v>701</v>
      </c>
      <c r="J120" s="61"/>
      <c r="K120" s="62" t="str">
        <f>IFERROR(VLOOKUP($D120,'Master Sheet'!$B:$AA,8,FALSE),"")</f>
        <v/>
      </c>
      <c r="M120" s="9"/>
    </row>
    <row r="121" spans="1:13" x14ac:dyDescent="0.25">
      <c r="A121" s="10"/>
      <c r="B121" s="31"/>
      <c r="C121" s="31"/>
      <c r="D121" s="32" t="s">
        <v>603</v>
      </c>
      <c r="E121" s="33"/>
      <c r="F121" s="2"/>
      <c r="G121" s="17" t="str">
        <f>IFERROR(VLOOKUP($D121,'Master Sheet'!$B:$AA,3,FALSE),"")</f>
        <v>Nikon NIKKOR Z 17-28mm f/2.8 Lens</v>
      </c>
      <c r="H121" s="2"/>
      <c r="I121" s="2" t="str">
        <f>IFERROR(VLOOKUP($D121,'Master Sheet'!$B:$AA,2,FALSE),"")</f>
        <v>JMA718DA</v>
      </c>
      <c r="J121" s="34" t="str">
        <f>IFERROR(VLOOKUP($D121,'Master Sheet'!$B:$AA,5,FALSE),"")</f>
        <v>018208201150</v>
      </c>
      <c r="K121" s="35">
        <f>IFERROR(VLOOKUP($D121,'Master Sheet'!$B:$AA,8,FALSE),"")</f>
        <v>21914.955000000002</v>
      </c>
      <c r="M121" s="9"/>
    </row>
    <row r="122" spans="1:13" x14ac:dyDescent="0.25">
      <c r="A122" s="10"/>
      <c r="B122" s="31"/>
      <c r="C122" s="31"/>
      <c r="D122" s="32" t="s">
        <v>533</v>
      </c>
      <c r="E122" s="33"/>
      <c r="F122" s="2"/>
      <c r="G122" s="17" t="str">
        <f>IFERROR(VLOOKUP($D122,'Master Sheet'!$B:$AA,3,FALSE),"")</f>
        <v>67mm Z-Series Lens Cap</v>
      </c>
      <c r="H122" s="2"/>
      <c r="I122" s="2" t="str">
        <f>IFERROR(VLOOKUP($D122,'Master Sheet'!$B:$AA,2,FALSE),"")</f>
        <v>JMD00701</v>
      </c>
      <c r="J122" s="34" t="str">
        <f>IFERROR(VLOOKUP($D122,'Master Sheet'!$B:$AA,5,FALSE),"")</f>
        <v>018208042302</v>
      </c>
      <c r="K122" s="35">
        <f>IFERROR(VLOOKUP($D122,'Master Sheet'!$B:$AA,8,FALSE),"")</f>
        <v>161.95499999999998</v>
      </c>
      <c r="M122" s="9"/>
    </row>
    <row r="123" spans="1:13" x14ac:dyDescent="0.25">
      <c r="A123" s="10"/>
      <c r="B123" s="31"/>
      <c r="C123" s="31"/>
      <c r="D123" s="32" t="s">
        <v>528</v>
      </c>
      <c r="E123" s="33"/>
      <c r="F123" s="2"/>
      <c r="G123" s="17" t="str">
        <f>IFERROR(VLOOKUP($D123,'Master Sheet'!$B:$AA,3,FALSE),"")</f>
        <v>LF-N1 Rear Lens Cap (Z-Series)</v>
      </c>
      <c r="H123" s="2"/>
      <c r="I123" s="2" t="str">
        <f>IFERROR(VLOOKUP($D123,'Master Sheet'!$B:$AA,2,FALSE),"")</f>
        <v>JMD00101</v>
      </c>
      <c r="J123" s="34" t="str">
        <f>IFERROR(VLOOKUP($D123,'Master Sheet'!$B:$AA,5,FALSE),"")</f>
        <v>018208041824</v>
      </c>
      <c r="K123" s="35">
        <f>IFERROR(VLOOKUP($D123,'Master Sheet'!$B:$AA,8,FALSE),"")</f>
        <v>107.955</v>
      </c>
      <c r="M123" s="9"/>
    </row>
    <row r="124" spans="1:13" x14ac:dyDescent="0.25">
      <c r="A124" s="10"/>
      <c r="B124" s="31"/>
      <c r="C124" s="31"/>
      <c r="D124" s="32" t="s">
        <v>67</v>
      </c>
      <c r="E124" s="33"/>
      <c r="F124" s="2"/>
      <c r="G124" s="17" t="str">
        <f>IFERROR(VLOOKUP($D124,'Master Sheet'!$B:$AA,3,FALSE),"")</f>
        <v>67MM FILTER NC NEUTRAL COLOUR</v>
      </c>
      <c r="H124" s="2"/>
      <c r="I124" s="2" t="str">
        <f>IFERROR(VLOOKUP($D124,'Master Sheet'!$B:$AA,2,FALSE),"")</f>
        <v>FTA13101</v>
      </c>
      <c r="J124" s="34" t="str">
        <f>IFERROR(VLOOKUP($D124,'Master Sheet'!$B:$AA,5,FALSE),"")</f>
        <v>018208022885</v>
      </c>
      <c r="K124" s="35">
        <f>IFERROR(VLOOKUP($D124,'Master Sheet'!$B:$AA,8,FALSE),"")</f>
        <v>863.95500000000004</v>
      </c>
      <c r="M124" s="9"/>
    </row>
    <row r="125" spans="1:13" x14ac:dyDescent="0.25">
      <c r="A125" s="10"/>
      <c r="B125" s="31"/>
      <c r="C125" s="31"/>
      <c r="D125" s="32" t="s">
        <v>68</v>
      </c>
      <c r="E125" s="33"/>
      <c r="F125" s="2"/>
      <c r="G125" s="17" t="str">
        <f>IFERROR(VLOOKUP($D125,'Master Sheet'!$B:$AA,3,FALSE),"")</f>
        <v xml:space="preserve">67MM FILTER C-PL II             </v>
      </c>
      <c r="H125" s="2"/>
      <c r="I125" s="2" t="str">
        <f>IFERROR(VLOOKUP($D125,'Master Sheet'!$B:$AA,2,FALSE),"")</f>
        <v>FTA13201</v>
      </c>
      <c r="J125" s="34" t="str">
        <f>IFERROR(VLOOKUP($D125,'Master Sheet'!$B:$AA,5,FALSE),"")</f>
        <v>018208022557</v>
      </c>
      <c r="K125" s="35">
        <f>IFERROR(VLOOKUP($D125,'Master Sheet'!$B:$AA,8,FALSE),"")</f>
        <v>2798.9549999999999</v>
      </c>
      <c r="M125" s="9"/>
    </row>
    <row r="126" spans="1:13" ht="13.5" thickBot="1" x14ac:dyDescent="0.3">
      <c r="A126" s="10"/>
      <c r="B126" s="31"/>
      <c r="C126" s="31"/>
      <c r="D126" s="32"/>
      <c r="E126" s="33"/>
      <c r="F126" s="2"/>
      <c r="G126" s="17" t="str">
        <f>IFERROR(VLOOKUP($D126,'Master Sheet'!$B:$AA,3,FALSE),"")</f>
        <v/>
      </c>
      <c r="H126" s="2"/>
      <c r="I126" s="2" t="str">
        <f>IFERROR(VLOOKUP($D126,'Master Sheet'!$B:$AA,2,FALSE),"")</f>
        <v/>
      </c>
      <c r="J126" s="34" t="str">
        <f>IFERROR(VLOOKUP($D126,'Master Sheet'!$B:$AA,5,FALSE),"")</f>
        <v/>
      </c>
      <c r="K126" s="35" t="str">
        <f>IFERROR(VLOOKUP($D126,'Master Sheet'!$B:$AA,8,FALSE),"")</f>
        <v/>
      </c>
      <c r="M126" s="9"/>
    </row>
    <row r="127" spans="1:13" ht="13.5" thickBot="1" x14ac:dyDescent="0.3">
      <c r="A127" s="10"/>
      <c r="B127" s="31"/>
      <c r="C127" s="46"/>
      <c r="D127" s="47" t="s">
        <v>369</v>
      </c>
      <c r="E127" s="48"/>
      <c r="F127" s="47"/>
      <c r="G127" s="49" t="str">
        <f>IFERROR(VLOOKUP($D127,'Master Sheet'!$B:$AA,3,FALSE),"")</f>
        <v/>
      </c>
      <c r="H127" s="47"/>
      <c r="I127" s="47" t="s">
        <v>393</v>
      </c>
      <c r="J127" s="61" t="str">
        <f>IFERROR(VLOOKUP($D127,'Master Sheet'!$B:$AA,5,FALSE),"")</f>
        <v/>
      </c>
      <c r="K127" s="62" t="str">
        <f>IFERROR(VLOOKUP($D127,'Master Sheet'!$B:$AA,8,FALSE),"")</f>
        <v/>
      </c>
      <c r="M127" s="9"/>
    </row>
    <row r="128" spans="1:13" x14ac:dyDescent="0.25">
      <c r="A128" s="10"/>
      <c r="B128" s="31"/>
      <c r="C128" s="31"/>
      <c r="D128" s="32" t="s">
        <v>372</v>
      </c>
      <c r="E128" s="33"/>
      <c r="F128" s="2"/>
      <c r="G128" s="17" t="str">
        <f>IFERROR(VLOOKUP($D128,'Master Sheet'!$B:$AA,3,FALSE),"")</f>
        <v>Nikon NIKKOR Z 24-50mm f4-6.3</v>
      </c>
      <c r="H128" s="2"/>
      <c r="I128" s="2" t="str">
        <f>IFERROR(VLOOKUP($D128,'Master Sheet'!$B:$AA,2,FALSE),"")</f>
        <v>JMA712DA</v>
      </c>
      <c r="J128" s="34" t="str">
        <f>IFERROR(VLOOKUP($D128,'Master Sheet'!$B:$AA,5,FALSE),"")</f>
        <v>018208200962</v>
      </c>
      <c r="K128" s="35">
        <f>IFERROR(VLOOKUP($D128,'Master Sheet'!$B:$AA,8,FALSE),"")</f>
        <v>6263.9549999999999</v>
      </c>
      <c r="M128" s="9"/>
    </row>
    <row r="129" spans="1:13" x14ac:dyDescent="0.25">
      <c r="A129" s="10"/>
      <c r="B129" s="31"/>
      <c r="C129" s="31"/>
      <c r="D129" s="32" t="s">
        <v>532</v>
      </c>
      <c r="E129" s="33"/>
      <c r="F129" s="2"/>
      <c r="G129" s="17" t="str">
        <f>IFERROR(VLOOKUP($D129,'Master Sheet'!$B:$AA,3,FALSE),"")</f>
        <v>52mm Z-Series Lens Cap</v>
      </c>
      <c r="H129" s="2"/>
      <c r="I129" s="2" t="str">
        <f>IFERROR(VLOOKUP($D129,'Master Sheet'!$B:$AA,2,FALSE),"")</f>
        <v>JMD01101</v>
      </c>
      <c r="J129" s="34" t="str">
        <f>IFERROR(VLOOKUP($D129,'Master Sheet'!$B:$AA,5,FALSE),"")</f>
        <v>018208042449</v>
      </c>
      <c r="K129" s="35">
        <f>IFERROR(VLOOKUP($D129,'Master Sheet'!$B:$AA,8,FALSE),"")</f>
        <v>116.955</v>
      </c>
      <c r="M129" s="9"/>
    </row>
    <row r="130" spans="1:13" x14ac:dyDescent="0.25">
      <c r="A130" s="10"/>
      <c r="B130" s="31"/>
      <c r="C130" s="31"/>
      <c r="D130" s="32" t="s">
        <v>528</v>
      </c>
      <c r="E130" s="33"/>
      <c r="F130" s="2"/>
      <c r="G130" s="17" t="str">
        <f>IFERROR(VLOOKUP($D130,'Master Sheet'!$B:$AA,3,FALSE),"")</f>
        <v>LF-N1 Rear Lens Cap (Z-Series)</v>
      </c>
      <c r="H130" s="2"/>
      <c r="I130" s="2" t="str">
        <f>IFERROR(VLOOKUP($D130,'Master Sheet'!$B:$AA,2,FALSE),"")</f>
        <v>JMD00101</v>
      </c>
      <c r="J130" s="34" t="str">
        <f>IFERROR(VLOOKUP($D130,'Master Sheet'!$B:$AA,5,FALSE),"")</f>
        <v>018208041824</v>
      </c>
      <c r="K130" s="35">
        <f>IFERROR(VLOOKUP($D130,'Master Sheet'!$B:$AA,8,FALSE),"")</f>
        <v>107.955</v>
      </c>
      <c r="M130" s="9"/>
    </row>
    <row r="131" spans="1:13" x14ac:dyDescent="0.25">
      <c r="A131" s="10"/>
      <c r="B131" s="31"/>
      <c r="C131" s="31"/>
      <c r="D131" s="32" t="s">
        <v>71</v>
      </c>
      <c r="E131" s="33"/>
      <c r="F131" s="2"/>
      <c r="G131" s="17" t="str">
        <f>IFERROR(VLOOKUP($D131,'Master Sheet'!$B:$AA,3,FALSE),"")</f>
        <v>52MM FILTER NC NEUTRAL COLOUR</v>
      </c>
      <c r="H131" s="2"/>
      <c r="I131" s="2" t="str">
        <f>IFERROR(VLOOKUP($D131,'Master Sheet'!$B:$AA,2,FALSE),"")</f>
        <v>FTA07701</v>
      </c>
      <c r="J131" s="34" t="str">
        <f>IFERROR(VLOOKUP($D131,'Master Sheet'!$B:$AA,5,FALSE),"")</f>
        <v>018208024797</v>
      </c>
      <c r="K131" s="35">
        <f>IFERROR(VLOOKUP($D131,'Master Sheet'!$B:$AA,8,FALSE),"")</f>
        <v>512.95500000000004</v>
      </c>
      <c r="M131" s="9"/>
    </row>
    <row r="132" spans="1:13" x14ac:dyDescent="0.25">
      <c r="A132" s="10"/>
      <c r="B132" s="31"/>
      <c r="C132" s="31"/>
      <c r="D132" s="32" t="s">
        <v>72</v>
      </c>
      <c r="E132" s="33"/>
      <c r="F132" s="2"/>
      <c r="G132" s="17" t="str">
        <f>IFERROR(VLOOKUP($D132,'Master Sheet'!$B:$AA,3,FALSE),"")</f>
        <v xml:space="preserve">52MM FILTER C-PL II             </v>
      </c>
      <c r="H132" s="2"/>
      <c r="I132" s="2" t="str">
        <f>IFERROR(VLOOKUP($D132,'Master Sheet'!$B:$AA,2,FALSE),"")</f>
        <v>FTA08001</v>
      </c>
      <c r="J132" s="34" t="str">
        <f>IFERROR(VLOOKUP($D132,'Master Sheet'!$B:$AA,5,FALSE),"")</f>
        <v>018208022335</v>
      </c>
      <c r="K132" s="35">
        <f>IFERROR(VLOOKUP($D132,'Master Sheet'!$B:$AA,8,FALSE),"")</f>
        <v>1736.9550000000002</v>
      </c>
      <c r="M132" s="9"/>
    </row>
    <row r="133" spans="1:13" x14ac:dyDescent="0.25">
      <c r="A133" s="10"/>
      <c r="B133" s="31"/>
      <c r="C133" s="31"/>
      <c r="D133" s="32"/>
      <c r="E133" s="33"/>
      <c r="F133" s="2"/>
      <c r="G133" s="17" t="str">
        <f>IFERROR(VLOOKUP($D133,'Master Sheet'!$B:$AA,3,FALSE),"")</f>
        <v/>
      </c>
      <c r="H133" s="2"/>
      <c r="I133" s="2" t="str">
        <f>IFERROR(VLOOKUP($D133,'Master Sheet'!$B:$AA,2,FALSE),"")</f>
        <v/>
      </c>
      <c r="J133" s="34" t="str">
        <f>IFERROR(VLOOKUP($D133,'Master Sheet'!$B:$AA,5,FALSE),"")</f>
        <v/>
      </c>
      <c r="K133" s="35" t="str">
        <f>IFERROR(VLOOKUP($D133,'Master Sheet'!$B:$AA,8,FALSE),"")</f>
        <v/>
      </c>
      <c r="M133" s="9"/>
    </row>
    <row r="134" spans="1:13" x14ac:dyDescent="0.25">
      <c r="A134" s="10"/>
      <c r="B134" s="31"/>
      <c r="C134" s="31"/>
      <c r="D134" s="32"/>
      <c r="E134" s="33"/>
      <c r="F134" s="2"/>
      <c r="G134" s="17" t="str">
        <f>IFERROR(VLOOKUP($D134,'Master Sheet'!$B:$AA,3,FALSE),"")</f>
        <v/>
      </c>
      <c r="H134" s="2"/>
      <c r="I134" s="2" t="str">
        <f>IFERROR(VLOOKUP($D134,'Master Sheet'!$B:$AA,2,FALSE),"")</f>
        <v/>
      </c>
      <c r="J134" s="34" t="str">
        <f>IFERROR(VLOOKUP($D134,'Master Sheet'!$B:$AA,5,FALSE),"")</f>
        <v/>
      </c>
      <c r="K134" s="35" t="str">
        <f>IFERROR(VLOOKUP($D134,'Master Sheet'!$B:$AA,8,FALSE),"")</f>
        <v/>
      </c>
      <c r="M134" s="9"/>
    </row>
    <row r="135" spans="1:13" x14ac:dyDescent="0.25">
      <c r="A135" s="10"/>
      <c r="B135" s="10"/>
      <c r="C135" s="10"/>
      <c r="D135" s="10"/>
      <c r="E135" s="10"/>
      <c r="F135" s="10"/>
      <c r="G135" s="16"/>
      <c r="H135" s="10"/>
      <c r="I135" s="10"/>
      <c r="J135" s="10"/>
      <c r="K135" s="10"/>
      <c r="L135" s="10"/>
      <c r="M135" s="10"/>
    </row>
  </sheetData>
  <mergeCells count="2">
    <mergeCell ref="G16:K16"/>
    <mergeCell ref="G89:K89"/>
  </mergeCells>
  <phoneticPr fontId="10" type="noConversion"/>
  <pageMargins left="0.25" right="0.25" top="0.75" bottom="0.75" header="0.3" footer="0.3"/>
  <pageSetup paperSize="9" scale="76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8FE0-579D-4025-B85B-88DED64C6ECD}">
  <sheetPr>
    <pageSetUpPr fitToPage="1"/>
  </sheetPr>
  <dimension ref="A1:M116"/>
  <sheetViews>
    <sheetView showGridLines="0" showRowColHeaders="0" topLeftCell="A79" zoomScale="85" zoomScaleNormal="85" workbookViewId="0">
      <selection activeCell="K71" sqref="K71"/>
    </sheetView>
  </sheetViews>
  <sheetFormatPr defaultColWidth="8.85546875" defaultRowHeight="12.75" x14ac:dyDescent="0.25"/>
  <cols>
    <col min="1" max="3" width="3.42578125" style="5" customWidth="1"/>
    <col min="4" max="4" width="16.85546875" style="2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11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32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31"/>
      <c r="D3" s="32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32"/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31"/>
      <c r="D5" s="32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32"/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31"/>
      <c r="D7" s="32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1"/>
      <c r="D8" s="32"/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32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31"/>
      <c r="D10" s="32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31"/>
      <c r="D11" s="32"/>
      <c r="E11" s="36"/>
      <c r="F11" s="8"/>
      <c r="G11" s="22"/>
      <c r="H11" s="8"/>
      <c r="J11" s="34"/>
      <c r="K11" s="35"/>
      <c r="M11" s="9"/>
    </row>
    <row r="12" spans="1:13" x14ac:dyDescent="0.25">
      <c r="A12" s="10"/>
      <c r="B12" s="31"/>
      <c r="C12" s="31"/>
      <c r="D12" s="32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31"/>
      <c r="D13" s="32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32"/>
      <c r="E14" s="36"/>
      <c r="F14" s="8"/>
      <c r="G14" s="22"/>
      <c r="H14" s="8"/>
      <c r="J14" s="34"/>
      <c r="K14" s="35"/>
      <c r="M14" s="9"/>
    </row>
    <row r="15" spans="1:13" ht="13.5" thickBot="1" x14ac:dyDescent="0.3">
      <c r="A15" s="10"/>
      <c r="B15" s="31"/>
      <c r="C15" s="31"/>
      <c r="D15" s="32"/>
      <c r="E15" s="36"/>
      <c r="F15" s="8"/>
      <c r="G15" s="22"/>
      <c r="H15" s="8"/>
      <c r="J15" s="34"/>
      <c r="K15" s="35"/>
      <c r="M15" s="9"/>
    </row>
    <row r="16" spans="1:13" ht="15" customHeight="1" thickBot="1" x14ac:dyDescent="0.3">
      <c r="A16" s="10"/>
      <c r="B16" s="31"/>
      <c r="C16" s="31"/>
      <c r="D16" s="32"/>
      <c r="E16" s="36"/>
      <c r="F16" s="8"/>
      <c r="G16" s="96" t="s">
        <v>226</v>
      </c>
      <c r="H16" s="97"/>
      <c r="I16" s="97"/>
      <c r="J16" s="97"/>
      <c r="K16" s="98"/>
      <c r="M16" s="9"/>
    </row>
    <row r="17" spans="1:13" ht="13.5" thickBot="1" x14ac:dyDescent="0.3">
      <c r="A17" s="10"/>
      <c r="B17" s="31"/>
      <c r="C17" s="31"/>
      <c r="D17" s="38"/>
      <c r="E17" s="36"/>
      <c r="F17" s="8"/>
      <c r="G17" s="22"/>
      <c r="H17" s="8"/>
      <c r="J17" s="34"/>
      <c r="K17" s="35"/>
      <c r="M17" s="9"/>
    </row>
    <row r="18" spans="1:13" ht="13.5" thickBot="1" x14ac:dyDescent="0.3">
      <c r="A18" s="10"/>
      <c r="B18" s="31"/>
      <c r="C18" s="39" t="s">
        <v>48</v>
      </c>
      <c r="D18" s="40"/>
      <c r="E18" s="40"/>
      <c r="F18" s="55"/>
      <c r="G18" s="41" t="s">
        <v>643</v>
      </c>
      <c r="H18" s="55"/>
      <c r="I18" s="42" t="s">
        <v>52</v>
      </c>
      <c r="J18" s="43" t="s">
        <v>47</v>
      </c>
      <c r="K18" s="56" t="s">
        <v>943</v>
      </c>
      <c r="M18" s="9"/>
    </row>
    <row r="19" spans="1:13" ht="13.5" thickBot="1" x14ac:dyDescent="0.3">
      <c r="A19" s="10"/>
      <c r="B19" s="31"/>
      <c r="C19" s="31"/>
      <c r="D19" s="32"/>
      <c r="E19" s="33"/>
      <c r="F19" s="2"/>
      <c r="H19" s="2"/>
      <c r="J19" s="34"/>
      <c r="K19" s="35"/>
      <c r="M19" s="9"/>
    </row>
    <row r="20" spans="1:13" ht="13.5" thickBot="1" x14ac:dyDescent="0.3">
      <c r="A20" s="10"/>
      <c r="B20" s="31"/>
      <c r="C20" s="46"/>
      <c r="D20" s="47" t="s">
        <v>397</v>
      </c>
      <c r="E20" s="48"/>
      <c r="F20" s="47"/>
      <c r="G20" s="49"/>
      <c r="H20" s="47"/>
      <c r="I20" s="47" t="s">
        <v>401</v>
      </c>
      <c r="J20" s="61"/>
      <c r="K20" s="62"/>
      <c r="M20" s="9"/>
    </row>
    <row r="21" spans="1:13" x14ac:dyDescent="0.25">
      <c r="A21" s="10"/>
      <c r="B21" s="31"/>
      <c r="C21" s="31"/>
      <c r="D21" s="32" t="s">
        <v>399</v>
      </c>
      <c r="E21" s="33"/>
      <c r="F21" s="2"/>
      <c r="G21" s="17" t="str">
        <f>IFERROR(VLOOKUP($D21,'Master Sheet'!$B:$AA,3,FALSE),"")</f>
        <v>Nikon NIKKOR Z 50MM F1.2 Z S LENS</v>
      </c>
      <c r="H21" s="2"/>
      <c r="I21" s="2" t="str">
        <f>IFERROR(VLOOKUP($D21,'Master Sheet'!$B:$AA,2,FALSE),"")</f>
        <v>JMA003DA</v>
      </c>
      <c r="J21" s="34" t="str">
        <f>IFERROR(VLOOKUP($D21,'Master Sheet'!$B:$AA,5,FALSE),"")</f>
        <v>018208200955</v>
      </c>
      <c r="K21" s="35">
        <f>IFERROR(VLOOKUP($D21,'Master Sheet'!$B:$AA,8,FALSE),"")</f>
        <v>35216.955000000002</v>
      </c>
      <c r="M21" s="9"/>
    </row>
    <row r="22" spans="1:13" x14ac:dyDescent="0.25">
      <c r="A22" s="10"/>
      <c r="B22" s="31"/>
      <c r="C22" s="31"/>
      <c r="D22" s="32" t="s">
        <v>530</v>
      </c>
      <c r="E22" s="33"/>
      <c r="F22" s="2"/>
      <c r="G22" s="17" t="str">
        <f>IFERROR(VLOOKUP($D22,'Master Sheet'!$B:$AA,3,FALSE),"")</f>
        <v>82mm Z-Series Lens Cap</v>
      </c>
      <c r="H22" s="2"/>
      <c r="I22" s="2" t="str">
        <f>IFERROR(VLOOKUP($D22,'Master Sheet'!$B:$AA,2,FALSE),"")</f>
        <v>JMD00401</v>
      </c>
      <c r="J22" s="34" t="str">
        <f>IFERROR(VLOOKUP($D22,'Master Sheet'!$B:$AA,5,FALSE),"")</f>
        <v>4960759149916</v>
      </c>
      <c r="K22" s="35">
        <f>IFERROR(VLOOKUP($D22,'Master Sheet'!$B:$AA,8,FALSE),"")</f>
        <v>278.95499999999998</v>
      </c>
      <c r="M22" s="9"/>
    </row>
    <row r="23" spans="1:13" x14ac:dyDescent="0.25">
      <c r="A23" s="10"/>
      <c r="B23" s="31"/>
      <c r="C23" s="31"/>
      <c r="D23" s="32" t="s">
        <v>528</v>
      </c>
      <c r="E23" s="33"/>
      <c r="F23" s="2"/>
      <c r="G23" s="17" t="str">
        <f>IFERROR(VLOOKUP($D23,'Master Sheet'!$B:$AA,3,FALSE),"")</f>
        <v>LF-N1 Rear Lens Cap (Z-Series)</v>
      </c>
      <c r="H23" s="2"/>
      <c r="I23" s="2" t="str">
        <f>IFERROR(VLOOKUP($D23,'Master Sheet'!$B:$AA,2,FALSE),"")</f>
        <v>JMD00101</v>
      </c>
      <c r="J23" s="34" t="str">
        <f>IFERROR(VLOOKUP($D23,'Master Sheet'!$B:$AA,5,FALSE),"")</f>
        <v>018208041824</v>
      </c>
      <c r="K23" s="35">
        <f>IFERROR(VLOOKUP($D23,'Master Sheet'!$B:$AA,8,FALSE),"")</f>
        <v>107.955</v>
      </c>
      <c r="M23" s="9"/>
    </row>
    <row r="24" spans="1:13" x14ac:dyDescent="0.25">
      <c r="A24" s="10"/>
      <c r="B24" s="31"/>
      <c r="C24" s="31"/>
      <c r="D24" s="32" t="s">
        <v>73</v>
      </c>
      <c r="E24" s="33"/>
      <c r="F24" s="2"/>
      <c r="G24" s="17" t="str">
        <f>IFERROR(VLOOKUP($D24,'Master Sheet'!$B:$AA,3,FALSE),"")</f>
        <v xml:space="preserve">82MM FILTER NC NEUTRAL COLOUR </v>
      </c>
      <c r="H24" s="2"/>
      <c r="I24" s="2" t="str">
        <f>IFERROR(VLOOKUP($D24,'Master Sheet'!$B:$AA,2,FALSE),"")</f>
        <v>FTA70401</v>
      </c>
      <c r="J24" s="34" t="str">
        <f>IFERROR(VLOOKUP($D24,'Master Sheet'!$B:$AA,5,FALSE),"")</f>
        <v>018208024971</v>
      </c>
      <c r="K24" s="35">
        <f>IFERROR(VLOOKUP($D24,'Master Sheet'!$B:$AA,8,FALSE),"")</f>
        <v>1826.9550000000002</v>
      </c>
      <c r="M24" s="9"/>
    </row>
    <row r="25" spans="1:13" x14ac:dyDescent="0.25">
      <c r="A25" s="10"/>
      <c r="B25" s="31"/>
      <c r="C25" s="31"/>
      <c r="D25" s="32" t="s">
        <v>74</v>
      </c>
      <c r="E25" s="33"/>
      <c r="F25" s="2"/>
      <c r="G25" s="17" t="str">
        <f>IFERROR(VLOOKUP($D25,'Master Sheet'!$B:$AA,3,FALSE),"")</f>
        <v xml:space="preserve">82MM FILTER C-PL II </v>
      </c>
      <c r="H25" s="2"/>
      <c r="I25" s="2" t="str">
        <f>IFERROR(VLOOKUP($D25,'Master Sheet'!$B:$AA,2,FALSE),"")</f>
        <v>FTA70501</v>
      </c>
      <c r="J25" s="34" t="str">
        <f>IFERROR(VLOOKUP($D25,'Master Sheet'!$B:$AA,5,FALSE),"")</f>
        <v>018208024988</v>
      </c>
      <c r="K25" s="35">
        <f>IFERROR(VLOOKUP($D25,'Master Sheet'!$B:$AA,8,FALSE),"")</f>
        <v>3680.9549999999999</v>
      </c>
      <c r="M25" s="9"/>
    </row>
    <row r="26" spans="1:13" ht="13.5" thickBot="1" x14ac:dyDescent="0.3">
      <c r="A26" s="10"/>
      <c r="B26" s="31"/>
      <c r="C26" s="31"/>
      <c r="D26" s="32"/>
      <c r="E26" s="33"/>
      <c r="F26" s="2"/>
      <c r="G26" s="17" t="str">
        <f>IFERROR(VLOOKUP($D26,'Master Sheet'!$B:$AA,3,FALSE),"")</f>
        <v/>
      </c>
      <c r="H26" s="2"/>
      <c r="I26" s="2" t="str">
        <f>IFERROR(VLOOKUP($D26,'Master Sheet'!$B:$AA,2,FALSE),"")</f>
        <v/>
      </c>
      <c r="J26" s="34" t="str">
        <f>IFERROR(VLOOKUP($D26,'Master Sheet'!$B:$AA,5,FALSE),"")</f>
        <v/>
      </c>
      <c r="K26" s="35" t="str">
        <f>IFERROR(VLOOKUP($D26,'Master Sheet'!$B:$AA,8,FALSE),"")</f>
        <v/>
      </c>
      <c r="M26" s="9"/>
    </row>
    <row r="27" spans="1:13" ht="13.5" thickBot="1" x14ac:dyDescent="0.3">
      <c r="A27" s="10"/>
      <c r="B27" s="31"/>
      <c r="C27" s="46"/>
      <c r="D27" s="47" t="s">
        <v>877</v>
      </c>
      <c r="E27" s="48"/>
      <c r="F27" s="47"/>
      <c r="G27" s="49"/>
      <c r="H27" s="47"/>
      <c r="I27" s="47" t="s">
        <v>868</v>
      </c>
      <c r="J27" s="61"/>
      <c r="K27" s="62"/>
      <c r="M27" s="9"/>
    </row>
    <row r="28" spans="1:13" x14ac:dyDescent="0.25">
      <c r="A28" s="10"/>
      <c r="B28" s="31"/>
      <c r="C28" s="31"/>
      <c r="D28" s="32" t="s">
        <v>876</v>
      </c>
      <c r="E28" s="33"/>
      <c r="F28" s="2"/>
      <c r="G28" s="17" t="str">
        <f>IFERROR(VLOOKUP($D28,'Master Sheet'!$B:$AA,3,FALSE),"")</f>
        <v>Nikon NIKKOR Z 50MM F1.4 Z LENS</v>
      </c>
      <c r="H28" s="2"/>
      <c r="I28" s="2" t="str">
        <f>IFERROR(VLOOKUP($D28,'Master Sheet'!$B:$AA,2,FALSE),"")</f>
        <v>JMA004DA</v>
      </c>
      <c r="J28" s="34" t="str">
        <f>IFERROR(VLOOKUP($D28,'Master Sheet'!$B:$AA,5,FALSE),"")</f>
        <v>018208201280</v>
      </c>
      <c r="K28" s="35">
        <f>IFERROR(VLOOKUP($D28,'Master Sheet'!$B:$AA,8,FALSE),"")</f>
        <v>8612.9550000000017</v>
      </c>
      <c r="M28" s="9"/>
    </row>
    <row r="29" spans="1:13" x14ac:dyDescent="0.25">
      <c r="A29" s="10"/>
      <c r="B29" s="31"/>
      <c r="C29" s="31"/>
      <c r="D29" s="32" t="s">
        <v>529</v>
      </c>
      <c r="E29" s="33"/>
      <c r="F29" s="2"/>
      <c r="G29" s="17" t="str">
        <f>IFERROR(VLOOKUP($D29,'Master Sheet'!$B:$AA,3,FALSE),"")</f>
        <v>62mm Z-Series Lens Cap</v>
      </c>
      <c r="H29" s="2"/>
      <c r="I29" s="2" t="str">
        <f>IFERROR(VLOOKUP($D29,'Master Sheet'!$B:$AA,2,FALSE),"")</f>
        <v>JMD00201</v>
      </c>
      <c r="J29" s="34" t="str">
        <f>IFERROR(VLOOKUP($D29,'Master Sheet'!$B:$AA,5,FALSE),"")</f>
        <v>4960759149893</v>
      </c>
      <c r="K29" s="35">
        <f>IFERROR(VLOOKUP($D29,'Master Sheet'!$B:$AA,8,FALSE),"")</f>
        <v>170.95499999999998</v>
      </c>
      <c r="M29" s="9"/>
    </row>
    <row r="30" spans="1:13" x14ac:dyDescent="0.25">
      <c r="A30" s="10"/>
      <c r="B30" s="31"/>
      <c r="C30" s="31"/>
      <c r="D30" s="32" t="s">
        <v>528</v>
      </c>
      <c r="E30" s="33"/>
      <c r="F30" s="2"/>
      <c r="G30" s="17" t="str">
        <f>IFERROR(VLOOKUP($D30,'Master Sheet'!$B:$AA,3,FALSE),"")</f>
        <v>LF-N1 Rear Lens Cap (Z-Series)</v>
      </c>
      <c r="H30" s="2"/>
      <c r="I30" s="2" t="str">
        <f>IFERROR(VLOOKUP($D30,'Master Sheet'!$B:$AA,2,FALSE),"")</f>
        <v>JMD00101</v>
      </c>
      <c r="J30" s="34" t="str">
        <f>IFERROR(VLOOKUP($D30,'Master Sheet'!$B:$AA,5,FALSE),"")</f>
        <v>018208041824</v>
      </c>
      <c r="K30" s="35">
        <f>IFERROR(VLOOKUP($D30,'Master Sheet'!$B:$AA,8,FALSE),"")</f>
        <v>107.955</v>
      </c>
      <c r="M30" s="9"/>
    </row>
    <row r="31" spans="1:13" x14ac:dyDescent="0.25">
      <c r="A31" s="10"/>
      <c r="B31" s="31"/>
      <c r="C31" s="31"/>
      <c r="D31" s="32" t="s">
        <v>69</v>
      </c>
      <c r="E31" s="33"/>
      <c r="F31" s="2"/>
      <c r="G31" s="17" t="str">
        <f>IFERROR(VLOOKUP($D31,'Master Sheet'!$B:$AA,3,FALSE),"")</f>
        <v>62MM FILTER NC NEUTRAL COLOUR</v>
      </c>
      <c r="H31" s="2"/>
      <c r="I31" s="2" t="str">
        <f>IFERROR(VLOOKUP($D31,'Master Sheet'!$B:$AA,2,FALSE),"")</f>
        <v>FTA11401</v>
      </c>
      <c r="J31" s="34" t="str">
        <f>IFERROR(VLOOKUP($D31,'Master Sheet'!$B:$AA,5,FALSE),"")</f>
        <v>018208024803</v>
      </c>
      <c r="K31" s="35">
        <f>IFERROR(VLOOKUP($D31,'Master Sheet'!$B:$AA,8,FALSE),"")</f>
        <v>710.95500000000004</v>
      </c>
      <c r="M31" s="9"/>
    </row>
    <row r="32" spans="1:13" x14ac:dyDescent="0.25">
      <c r="A32" s="10"/>
      <c r="B32" s="31"/>
      <c r="C32" s="31"/>
      <c r="D32" s="32" t="s">
        <v>70</v>
      </c>
      <c r="E32" s="33"/>
      <c r="F32" s="2"/>
      <c r="G32" s="17" t="str">
        <f>IFERROR(VLOOKUP($D32,'Master Sheet'!$B:$AA,3,FALSE),"")</f>
        <v xml:space="preserve">62MM C-PL II FILTER                  </v>
      </c>
      <c r="H32" s="2"/>
      <c r="I32" s="2" t="str">
        <f>IFERROR(VLOOKUP($D32,'Master Sheet'!$B:$AA,2,FALSE),"")</f>
        <v>FTA11501</v>
      </c>
      <c r="J32" s="34" t="str">
        <f>IFERROR(VLOOKUP($D32,'Master Sheet'!$B:$AA,5,FALSE),"")</f>
        <v>018208022526</v>
      </c>
      <c r="K32" s="35">
        <f>IFERROR(VLOOKUP($D32,'Master Sheet'!$B:$AA,8,FALSE),"")</f>
        <v>2447.9549999999999</v>
      </c>
      <c r="M32" s="9"/>
    </row>
    <row r="33" spans="1:13" ht="13.5" thickBot="1" x14ac:dyDescent="0.3">
      <c r="A33" s="10"/>
      <c r="B33" s="31"/>
      <c r="C33" s="31"/>
      <c r="D33" s="32"/>
      <c r="E33" s="33"/>
      <c r="F33" s="2"/>
      <c r="G33" s="17" t="str">
        <f>IFERROR(VLOOKUP($D33,'Master Sheet'!$B:$AA,3,FALSE),"")</f>
        <v/>
      </c>
      <c r="H33" s="2"/>
      <c r="I33" s="2" t="str">
        <f>IFERROR(VLOOKUP($D33,'Master Sheet'!$B:$AA,2,FALSE),"")</f>
        <v/>
      </c>
      <c r="J33" s="34" t="str">
        <f>IFERROR(VLOOKUP($D33,'Master Sheet'!$B:$AA,5,FALSE),"")</f>
        <v/>
      </c>
      <c r="K33" s="35" t="str">
        <f>IFERROR(VLOOKUP($D33,'Master Sheet'!$B:$AA,8,FALSE),"")</f>
        <v/>
      </c>
      <c r="M33" s="9"/>
    </row>
    <row r="34" spans="1:13" ht="13.5" thickBot="1" x14ac:dyDescent="0.3">
      <c r="A34" s="10"/>
      <c r="B34" s="31"/>
      <c r="C34" s="46"/>
      <c r="D34" s="47" t="s">
        <v>304</v>
      </c>
      <c r="E34" s="48"/>
      <c r="F34" s="47"/>
      <c r="G34" s="49" t="str">
        <f>IFERROR(VLOOKUP($D34,'Master Sheet'!$B:$AA,3,FALSE),"")</f>
        <v/>
      </c>
      <c r="H34" s="47"/>
      <c r="I34" s="47" t="s">
        <v>242</v>
      </c>
      <c r="J34" s="61" t="str">
        <f>IFERROR(VLOOKUP($D34,'Master Sheet'!$B:$AA,5,FALSE),"")</f>
        <v/>
      </c>
      <c r="K34" s="62" t="str">
        <f>IFERROR(VLOOKUP($D34,'Master Sheet'!$B:$AA,8,FALSE),"")</f>
        <v/>
      </c>
      <c r="M34" s="9"/>
    </row>
    <row r="35" spans="1:13" x14ac:dyDescent="0.25">
      <c r="A35" s="10"/>
      <c r="B35" s="31"/>
      <c r="C35" s="31"/>
      <c r="D35" s="32" t="s">
        <v>113</v>
      </c>
      <c r="E35" s="33"/>
      <c r="F35" s="2"/>
      <c r="G35" s="17" t="str">
        <f>IFERROR(VLOOKUP($D35,'Master Sheet'!$B:$AA,3,FALSE),"")</f>
        <v>Nikon NIKKOR Z 50MM F1.8 Z S LENS</v>
      </c>
      <c r="H35" s="2"/>
      <c r="I35" s="2" t="str">
        <f>IFERROR(VLOOKUP($D35,'Master Sheet'!$B:$AA,2,FALSE),"")</f>
        <v>JMA001DA</v>
      </c>
      <c r="J35" s="34" t="str">
        <f>IFERROR(VLOOKUP($D35,'Master Sheet'!$B:$AA,5,FALSE),"")</f>
        <v>018208200832</v>
      </c>
      <c r="K35" s="35">
        <f>IFERROR(VLOOKUP($D35,'Master Sheet'!$B:$AA,8,FALSE),"")</f>
        <v>10723.455000000002</v>
      </c>
      <c r="M35" s="9"/>
    </row>
    <row r="36" spans="1:13" x14ac:dyDescent="0.25">
      <c r="A36" s="10"/>
      <c r="B36" s="31"/>
      <c r="C36" s="31"/>
      <c r="D36" s="32" t="s">
        <v>529</v>
      </c>
      <c r="E36" s="33"/>
      <c r="F36" s="2"/>
      <c r="G36" s="17" t="str">
        <f>IFERROR(VLOOKUP($D36,'Master Sheet'!$B:$AA,3,FALSE),"")</f>
        <v>62mm Z-Series Lens Cap</v>
      </c>
      <c r="H36" s="2"/>
      <c r="I36" s="2" t="str">
        <f>IFERROR(VLOOKUP($D36,'Master Sheet'!$B:$AA,2,FALSE),"")</f>
        <v>JMD00201</v>
      </c>
      <c r="J36" s="34" t="str">
        <f>IFERROR(VLOOKUP($D36,'Master Sheet'!$B:$AA,5,FALSE),"")</f>
        <v>4960759149893</v>
      </c>
      <c r="K36" s="35">
        <f>IFERROR(VLOOKUP($D36,'Master Sheet'!$B:$AA,8,FALSE),"")</f>
        <v>170.95499999999998</v>
      </c>
      <c r="M36" s="9"/>
    </row>
    <row r="37" spans="1:13" x14ac:dyDescent="0.25">
      <c r="A37" s="10"/>
      <c r="B37" s="31"/>
      <c r="C37" s="31"/>
      <c r="D37" s="32" t="s">
        <v>528</v>
      </c>
      <c r="E37" s="33"/>
      <c r="F37" s="2"/>
      <c r="G37" s="17" t="str">
        <f>IFERROR(VLOOKUP($D37,'Master Sheet'!$B:$AA,3,FALSE),"")</f>
        <v>LF-N1 Rear Lens Cap (Z-Series)</v>
      </c>
      <c r="H37" s="2"/>
      <c r="I37" s="2" t="str">
        <f>IFERROR(VLOOKUP($D37,'Master Sheet'!$B:$AA,2,FALSE),"")</f>
        <v>JMD00101</v>
      </c>
      <c r="J37" s="34" t="str">
        <f>IFERROR(VLOOKUP($D37,'Master Sheet'!$B:$AA,5,FALSE),"")</f>
        <v>018208041824</v>
      </c>
      <c r="K37" s="35">
        <f>IFERROR(VLOOKUP($D37,'Master Sheet'!$B:$AA,8,FALSE),"")</f>
        <v>107.955</v>
      </c>
      <c r="M37" s="9"/>
    </row>
    <row r="38" spans="1:13" x14ac:dyDescent="0.25">
      <c r="A38" s="10"/>
      <c r="B38" s="31"/>
      <c r="C38" s="31"/>
      <c r="D38" s="32" t="s">
        <v>69</v>
      </c>
      <c r="E38" s="33"/>
      <c r="F38" s="2"/>
      <c r="G38" s="17" t="str">
        <f>IFERROR(VLOOKUP($D38,'Master Sheet'!$B:$AA,3,FALSE),"")</f>
        <v>62MM FILTER NC NEUTRAL COLOUR</v>
      </c>
      <c r="H38" s="2"/>
      <c r="I38" s="2" t="str">
        <f>IFERROR(VLOOKUP($D38,'Master Sheet'!$B:$AA,2,FALSE),"")</f>
        <v>FTA11401</v>
      </c>
      <c r="J38" s="34" t="str">
        <f>IFERROR(VLOOKUP($D38,'Master Sheet'!$B:$AA,5,FALSE),"")</f>
        <v>018208024803</v>
      </c>
      <c r="K38" s="35">
        <f>IFERROR(VLOOKUP($D38,'Master Sheet'!$B:$AA,8,FALSE),"")</f>
        <v>710.95500000000004</v>
      </c>
      <c r="M38" s="9"/>
    </row>
    <row r="39" spans="1:13" x14ac:dyDescent="0.25">
      <c r="A39" s="10"/>
      <c r="B39" s="31"/>
      <c r="C39" s="31"/>
      <c r="D39" s="32" t="s">
        <v>70</v>
      </c>
      <c r="E39" s="33"/>
      <c r="F39" s="2"/>
      <c r="G39" s="17" t="str">
        <f>IFERROR(VLOOKUP($D39,'Master Sheet'!$B:$AA,3,FALSE),"")</f>
        <v xml:space="preserve">62MM C-PL II FILTER                  </v>
      </c>
      <c r="H39" s="2"/>
      <c r="I39" s="2" t="str">
        <f>IFERROR(VLOOKUP($D39,'Master Sheet'!$B:$AA,2,FALSE),"")</f>
        <v>FTA11501</v>
      </c>
      <c r="J39" s="34" t="str">
        <f>IFERROR(VLOOKUP($D39,'Master Sheet'!$B:$AA,5,FALSE),"")</f>
        <v>018208022526</v>
      </c>
      <c r="K39" s="35">
        <f>IFERROR(VLOOKUP($D39,'Master Sheet'!$B:$AA,8,FALSE),"")</f>
        <v>2447.9549999999999</v>
      </c>
      <c r="M39" s="9"/>
    </row>
    <row r="40" spans="1:13" ht="13.5" thickBot="1" x14ac:dyDescent="0.3">
      <c r="A40" s="10"/>
      <c r="B40" s="31"/>
      <c r="C40" s="31"/>
      <c r="D40" s="32"/>
      <c r="E40" s="33"/>
      <c r="F40" s="2"/>
      <c r="G40" s="17" t="str">
        <f>IFERROR(VLOOKUP($D40,'Master Sheet'!$B:$AA,3,FALSE),"")</f>
        <v/>
      </c>
      <c r="H40" s="2"/>
      <c r="I40" s="2" t="str">
        <f>IFERROR(VLOOKUP($D40,'Master Sheet'!$B:$AA,2,FALSE),"")</f>
        <v/>
      </c>
      <c r="J40" s="34" t="str">
        <f>IFERROR(VLOOKUP($D40,'Master Sheet'!$B:$AA,5,FALSE),"")</f>
        <v/>
      </c>
      <c r="K40" s="35" t="str">
        <f>IFERROR(VLOOKUP($D40,'Master Sheet'!$B:$AA,8,FALSE),"")</f>
        <v/>
      </c>
      <c r="M40" s="9"/>
    </row>
    <row r="41" spans="1:13" ht="13.5" thickBot="1" x14ac:dyDescent="0.3">
      <c r="A41" s="10"/>
      <c r="B41" s="31"/>
      <c r="C41" s="46"/>
      <c r="D41" s="47" t="s">
        <v>430</v>
      </c>
      <c r="E41" s="48"/>
      <c r="F41" s="47"/>
      <c r="G41" s="49" t="str">
        <f>IFERROR(VLOOKUP($D41,'Master Sheet'!$B:$AA,3,FALSE),"")</f>
        <v/>
      </c>
      <c r="H41" s="47"/>
      <c r="I41" s="47" t="s">
        <v>702</v>
      </c>
      <c r="J41" s="61" t="str">
        <f>IFERROR(VLOOKUP($D41,'Master Sheet'!$B:$AA,5,FALSE),"")</f>
        <v/>
      </c>
      <c r="K41" s="62" t="str">
        <f>IFERROR(VLOOKUP($D41,'Master Sheet'!$B:$AA,8,FALSE),"")</f>
        <v/>
      </c>
      <c r="M41" s="9"/>
    </row>
    <row r="42" spans="1:13" x14ac:dyDescent="0.25">
      <c r="A42" s="10"/>
      <c r="B42" s="31"/>
      <c r="C42" s="31"/>
      <c r="D42" s="32" t="s">
        <v>424</v>
      </c>
      <c r="E42" s="33"/>
      <c r="F42" s="2"/>
      <c r="G42" s="17" t="str">
        <f>IFERROR(VLOOKUP($D42,'Master Sheet'!$B:$AA,3,FALSE),"")</f>
        <v>Nikon NIKKOR Z MC 50mm f/2.8 Macro Lens</v>
      </c>
      <c r="H42" s="2"/>
      <c r="I42" s="2" t="str">
        <f>IFERROR(VLOOKUP($D42,'Master Sheet'!$B:$AA,2,FALSE),"")</f>
        <v>JMA603DA</v>
      </c>
      <c r="J42" s="34" t="str">
        <f>IFERROR(VLOOKUP($D42,'Master Sheet'!$B:$AA,5,FALSE),"")</f>
        <v>018208201037</v>
      </c>
      <c r="K42" s="35">
        <f>IFERROR(VLOOKUP($D42,'Master Sheet'!$B:$AA,8,FALSE),"")</f>
        <v>12131.955000000002</v>
      </c>
      <c r="M42" s="9"/>
    </row>
    <row r="43" spans="1:13" x14ac:dyDescent="0.25">
      <c r="A43" s="10"/>
      <c r="B43" s="31"/>
      <c r="C43" s="31"/>
      <c r="D43" s="32" t="s">
        <v>531</v>
      </c>
      <c r="E43" s="33"/>
      <c r="F43" s="2"/>
      <c r="G43" s="17" t="str">
        <f>IFERROR(VLOOKUP($D43,'Master Sheet'!$B:$AA,3,FALSE),"")</f>
        <v>46mm Z-Series Lens Cap</v>
      </c>
      <c r="H43" s="2"/>
      <c r="I43" s="2" t="str">
        <f>IFERROR(VLOOKUP($D43,'Master Sheet'!$B:$AA,2,FALSE),"")</f>
        <v>JMD00501</v>
      </c>
      <c r="J43" s="34" t="str">
        <f>IFERROR(VLOOKUP($D43,'Master Sheet'!$B:$AA,5,FALSE),"")</f>
        <v>018208042098</v>
      </c>
      <c r="K43" s="35">
        <f>IFERROR(VLOOKUP($D43,'Master Sheet'!$B:$AA,8,FALSE),"")</f>
        <v>98.954999999999998</v>
      </c>
      <c r="M43" s="9"/>
    </row>
    <row r="44" spans="1:13" x14ac:dyDescent="0.25">
      <c r="A44" s="10"/>
      <c r="B44" s="31"/>
      <c r="C44" s="31"/>
      <c r="D44" s="32" t="s">
        <v>463</v>
      </c>
      <c r="E44" s="33"/>
      <c r="F44" s="2"/>
      <c r="G44" s="17" t="str">
        <f>IFERROR(VLOOKUP($D44,'Master Sheet'!$B:$AA,3,FALSE),"")</f>
        <v>46MM FILTER NC NEUTRAL COLOUR</v>
      </c>
      <c r="H44" s="2"/>
      <c r="I44" s="2" t="str">
        <f>IFERROR(VLOOKUP($D44,'Master Sheet'!$B:$AA,2,FALSE),"")</f>
        <v>FTA71001</v>
      </c>
      <c r="J44" s="34" t="str">
        <f>IFERROR(VLOOKUP($D44,'Master Sheet'!$B:$AA,5,FALSE),"")</f>
        <v>018208024940</v>
      </c>
      <c r="K44" s="35">
        <f>IFERROR(VLOOKUP($D44,'Master Sheet'!$B:$AA,8,FALSE),"")</f>
        <v>377.95499999999998</v>
      </c>
      <c r="M44" s="9"/>
    </row>
    <row r="45" spans="1:13" x14ac:dyDescent="0.25">
      <c r="A45" s="10"/>
      <c r="B45" s="31"/>
      <c r="C45" s="31"/>
      <c r="D45" s="32" t="s">
        <v>528</v>
      </c>
      <c r="E45" s="33"/>
      <c r="F45" s="2"/>
      <c r="G45" s="17" t="str">
        <f>IFERROR(VLOOKUP($D45,'Master Sheet'!$B:$AA,3,FALSE),"")</f>
        <v>LF-N1 Rear Lens Cap (Z-Series)</v>
      </c>
      <c r="H45" s="2"/>
      <c r="I45" s="2" t="str">
        <f>IFERROR(VLOOKUP($D45,'Master Sheet'!$B:$AA,2,FALSE),"")</f>
        <v>JMD00101</v>
      </c>
      <c r="J45" s="34" t="str">
        <f>IFERROR(VLOOKUP($D45,'Master Sheet'!$B:$AA,5,FALSE),"")</f>
        <v>018208041824</v>
      </c>
      <c r="K45" s="35">
        <f>IFERROR(VLOOKUP($D45,'Master Sheet'!$B:$AA,8,FALSE),"")</f>
        <v>107.955</v>
      </c>
      <c r="M45" s="9"/>
    </row>
    <row r="46" spans="1:13" ht="13.5" thickBot="1" x14ac:dyDescent="0.3">
      <c r="A46" s="10"/>
      <c r="B46" s="31"/>
      <c r="C46" s="31"/>
      <c r="D46" s="32"/>
      <c r="E46" s="33"/>
      <c r="F46" s="2"/>
      <c r="G46" s="17" t="str">
        <f>IFERROR(VLOOKUP($D46,'Master Sheet'!$B:$AA,3,FALSE),"")</f>
        <v/>
      </c>
      <c r="H46" s="2"/>
      <c r="I46" s="2" t="str">
        <f>IFERROR(VLOOKUP($D46,'Master Sheet'!$B:$AA,2,FALSE),"")</f>
        <v/>
      </c>
      <c r="J46" s="34" t="str">
        <f>IFERROR(VLOOKUP($D46,'Master Sheet'!$B:$AA,5,FALSE),"")</f>
        <v/>
      </c>
      <c r="K46" s="35" t="str">
        <f>IFERROR(VLOOKUP($D46,'Master Sheet'!$B:$AA,8,FALSE),"")</f>
        <v/>
      </c>
      <c r="M46" s="9"/>
    </row>
    <row r="47" spans="1:13" ht="13.5" thickBot="1" x14ac:dyDescent="0.3">
      <c r="A47" s="10"/>
      <c r="B47" s="31"/>
      <c r="C47" s="46"/>
      <c r="D47" s="47" t="s">
        <v>252</v>
      </c>
      <c r="E47" s="48"/>
      <c r="F47" s="47"/>
      <c r="G47" s="49" t="str">
        <f>IFERROR(VLOOKUP($D47,'Master Sheet'!$B:$AA,3,FALSE),"")</f>
        <v/>
      </c>
      <c r="H47" s="47"/>
      <c r="I47" s="47" t="s">
        <v>240</v>
      </c>
      <c r="J47" s="61" t="str">
        <f>IFERROR(VLOOKUP($D47,'Master Sheet'!$B:$AA,5,FALSE),"")</f>
        <v/>
      </c>
      <c r="K47" s="62" t="str">
        <f>IFERROR(VLOOKUP($D47,'Master Sheet'!$B:$AA,8,FALSE),"")</f>
        <v/>
      </c>
      <c r="M47" s="9"/>
    </row>
    <row r="48" spans="1:13" x14ac:dyDescent="0.25">
      <c r="A48" s="10"/>
      <c r="B48" s="31"/>
      <c r="C48" s="31"/>
      <c r="D48" s="32" t="s">
        <v>114</v>
      </c>
      <c r="E48" s="33"/>
      <c r="F48" s="2"/>
      <c r="G48" s="17" t="str">
        <f>IFERROR(VLOOKUP($D48,'Master Sheet'!$B:$AA,3,FALSE),"")</f>
        <v>Nikon NIKKOR Z 58mm f/0.95 S Noct Lens</v>
      </c>
      <c r="H48" s="2"/>
      <c r="I48" s="2" t="str">
        <f>IFERROR(VLOOKUP($D48,'Master Sheet'!$B:$AA,2,FALSE),"")</f>
        <v>JMA002DA</v>
      </c>
      <c r="J48" s="34" t="str">
        <f>IFERROR(VLOOKUP($D48,'Master Sheet'!$B:$AA,5,FALSE),"")</f>
        <v>018208200863</v>
      </c>
      <c r="K48" s="35">
        <f>IFERROR(VLOOKUP($D48,'Master Sheet'!$B:$AA,8,FALSE),"")</f>
        <v>156527.95500000002</v>
      </c>
      <c r="M48" s="9"/>
    </row>
    <row r="49" spans="1:13" x14ac:dyDescent="0.25">
      <c r="A49" s="10"/>
      <c r="B49" s="31"/>
      <c r="C49" s="31"/>
      <c r="D49" s="32" t="s">
        <v>530</v>
      </c>
      <c r="E49" s="33"/>
      <c r="F49" s="2"/>
      <c r="G49" s="17" t="str">
        <f>IFERROR(VLOOKUP($D49,'Master Sheet'!$B:$AA,3,FALSE),"")</f>
        <v>82mm Z-Series Lens Cap</v>
      </c>
      <c r="H49" s="2"/>
      <c r="I49" s="2" t="str">
        <f>IFERROR(VLOOKUP($D49,'Master Sheet'!$B:$AA,2,FALSE),"")</f>
        <v>JMD00401</v>
      </c>
      <c r="J49" s="34" t="str">
        <f>IFERROR(VLOOKUP($D49,'Master Sheet'!$B:$AA,5,FALSE),"")</f>
        <v>4960759149916</v>
      </c>
      <c r="K49" s="35">
        <f>IFERROR(VLOOKUP($D49,'Master Sheet'!$B:$AA,8,FALSE),"")</f>
        <v>278.95499999999998</v>
      </c>
      <c r="M49" s="9"/>
    </row>
    <row r="50" spans="1:13" x14ac:dyDescent="0.25">
      <c r="A50" s="10"/>
      <c r="B50" s="31"/>
      <c r="C50" s="31"/>
      <c r="D50" s="32" t="s">
        <v>528</v>
      </c>
      <c r="E50" s="33"/>
      <c r="F50" s="2"/>
      <c r="G50" s="17" t="str">
        <f>IFERROR(VLOOKUP($D50,'Master Sheet'!$B:$AA,3,FALSE),"")</f>
        <v>LF-N1 Rear Lens Cap (Z-Series)</v>
      </c>
      <c r="H50" s="2"/>
      <c r="I50" s="2" t="str">
        <f>IFERROR(VLOOKUP($D50,'Master Sheet'!$B:$AA,2,FALSE),"")</f>
        <v>JMD00101</v>
      </c>
      <c r="J50" s="34" t="str">
        <f>IFERROR(VLOOKUP($D50,'Master Sheet'!$B:$AA,5,FALSE),"")</f>
        <v>018208041824</v>
      </c>
      <c r="K50" s="35">
        <f>IFERROR(VLOOKUP($D50,'Master Sheet'!$B:$AA,8,FALSE),"")</f>
        <v>107.955</v>
      </c>
      <c r="M50" s="9"/>
    </row>
    <row r="51" spans="1:13" x14ac:dyDescent="0.25">
      <c r="A51" s="10"/>
      <c r="B51" s="31"/>
      <c r="C51" s="31"/>
      <c r="D51" s="32" t="s">
        <v>73</v>
      </c>
      <c r="E51" s="33"/>
      <c r="F51" s="2"/>
      <c r="G51" s="17" t="str">
        <f>IFERROR(VLOOKUP($D51,'Master Sheet'!$B:$AA,3,FALSE),"")</f>
        <v xml:space="preserve">82MM FILTER NC NEUTRAL COLOUR </v>
      </c>
      <c r="H51" s="2"/>
      <c r="I51" s="2" t="str">
        <f>IFERROR(VLOOKUP($D51,'Master Sheet'!$B:$AA,2,FALSE),"")</f>
        <v>FTA70401</v>
      </c>
      <c r="J51" s="34" t="str">
        <f>IFERROR(VLOOKUP($D51,'Master Sheet'!$B:$AA,5,FALSE),"")</f>
        <v>018208024971</v>
      </c>
      <c r="K51" s="35">
        <f>IFERROR(VLOOKUP($D51,'Master Sheet'!$B:$AA,8,FALSE),"")</f>
        <v>1826.9550000000002</v>
      </c>
      <c r="M51" s="9"/>
    </row>
    <row r="52" spans="1:13" x14ac:dyDescent="0.25">
      <c r="A52" s="10"/>
      <c r="B52" s="31"/>
      <c r="C52" s="31"/>
      <c r="D52" s="32" t="s">
        <v>74</v>
      </c>
      <c r="E52" s="33"/>
      <c r="F52" s="2"/>
      <c r="G52" s="17" t="str">
        <f>IFERROR(VLOOKUP($D52,'Master Sheet'!$B:$AA,3,FALSE),"")</f>
        <v xml:space="preserve">82MM FILTER C-PL II </v>
      </c>
      <c r="H52" s="2"/>
      <c r="I52" s="2" t="str">
        <f>IFERROR(VLOOKUP($D52,'Master Sheet'!$B:$AA,2,FALSE),"")</f>
        <v>FTA70501</v>
      </c>
      <c r="J52" s="34" t="str">
        <f>IFERROR(VLOOKUP($D52,'Master Sheet'!$B:$AA,5,FALSE),"")</f>
        <v>018208024988</v>
      </c>
      <c r="K52" s="35">
        <f>IFERROR(VLOOKUP($D52,'Master Sheet'!$B:$AA,8,FALSE),"")</f>
        <v>3680.9549999999999</v>
      </c>
      <c r="M52" s="9"/>
    </row>
    <row r="53" spans="1:13" ht="13.5" thickBot="1" x14ac:dyDescent="0.3">
      <c r="A53" s="10"/>
      <c r="B53" s="31"/>
      <c r="C53" s="31"/>
      <c r="D53" s="32"/>
      <c r="E53" s="33"/>
      <c r="F53" s="2"/>
      <c r="G53" s="17" t="str">
        <f>IFERROR(VLOOKUP($D53,'Master Sheet'!$B:$AA,3,FALSE),"")</f>
        <v/>
      </c>
      <c r="H53" s="2"/>
      <c r="I53" s="2" t="str">
        <f>IFERROR(VLOOKUP($D53,'Master Sheet'!$B:$AA,2,FALSE),"")</f>
        <v/>
      </c>
      <c r="J53" s="34" t="str">
        <f>IFERROR(VLOOKUP($D53,'Master Sheet'!$B:$AA,5,FALSE),"")</f>
        <v/>
      </c>
      <c r="K53" s="35" t="str">
        <f>IFERROR(VLOOKUP($D53,'Master Sheet'!$B:$AA,8,FALSE),"")</f>
        <v/>
      </c>
      <c r="M53" s="9"/>
    </row>
    <row r="54" spans="1:13" ht="13.5" thickBot="1" x14ac:dyDescent="0.3">
      <c r="A54" s="10"/>
      <c r="B54" s="31"/>
      <c r="C54" s="46"/>
      <c r="D54" s="47" t="s">
        <v>631</v>
      </c>
      <c r="E54" s="48"/>
      <c r="F54" s="47"/>
      <c r="G54" s="49" t="str">
        <f>IFERROR(VLOOKUP($D54,'Master Sheet'!$B:$AA,3,FALSE),"")</f>
        <v/>
      </c>
      <c r="H54" s="47"/>
      <c r="I54" s="47" t="s">
        <v>632</v>
      </c>
      <c r="J54" s="61"/>
      <c r="K54" s="62" t="str">
        <f>IFERROR(VLOOKUP($D54,'Master Sheet'!$B:$AA,8,FALSE),"")</f>
        <v/>
      </c>
      <c r="M54" s="9"/>
    </row>
    <row r="55" spans="1:13" x14ac:dyDescent="0.25">
      <c r="A55" s="10"/>
      <c r="B55" s="31"/>
      <c r="C55" s="31"/>
      <c r="D55" s="32" t="s">
        <v>627</v>
      </c>
      <c r="E55" s="33"/>
      <c r="F55" s="2"/>
      <c r="G55" s="17" t="str">
        <f>IFERROR(VLOOKUP($D55,'Master Sheet'!$B:$AA,3,FALSE),"")</f>
        <v xml:space="preserve">Nikon NIKKOR Z 85mm f/1.2 S Lens </v>
      </c>
      <c r="H55" s="2"/>
      <c r="I55" s="2" t="str">
        <f>IFERROR(VLOOKUP($D55,'Master Sheet'!$B:$AA,2,FALSE),"")</f>
        <v>JMA302DA</v>
      </c>
      <c r="J55" s="34" t="str">
        <f>IFERROR(VLOOKUP($D55,'Master Sheet'!$B:$AA,5,FALSE),"")</f>
        <v>018208201143</v>
      </c>
      <c r="K55" s="35">
        <f>IFERROR(VLOOKUP($D55,'Master Sheet'!$B:$AA,8,FALSE),"")</f>
        <v>49310.955000000002</v>
      </c>
      <c r="M55" s="9"/>
    </row>
    <row r="56" spans="1:13" x14ac:dyDescent="0.25">
      <c r="A56" s="10"/>
      <c r="B56" s="31"/>
      <c r="C56" s="31"/>
      <c r="D56" s="32" t="s">
        <v>530</v>
      </c>
      <c r="E56" s="33"/>
      <c r="F56" s="2"/>
      <c r="G56" s="17" t="str">
        <f>IFERROR(VLOOKUP($D56,'Master Sheet'!$B:$AA,3,FALSE),"")</f>
        <v>82mm Z-Series Lens Cap</v>
      </c>
      <c r="H56" s="2"/>
      <c r="I56" s="2" t="str">
        <f>IFERROR(VLOOKUP($D56,'Master Sheet'!$B:$AA,2,FALSE),"")</f>
        <v>JMD00401</v>
      </c>
      <c r="J56" s="34" t="str">
        <f>IFERROR(VLOOKUP($D56,'Master Sheet'!$B:$AA,5,FALSE),"")</f>
        <v>4960759149916</v>
      </c>
      <c r="K56" s="35">
        <f>IFERROR(VLOOKUP($D56,'Master Sheet'!$B:$AA,8,FALSE),"")</f>
        <v>278.95499999999998</v>
      </c>
      <c r="M56" s="9"/>
    </row>
    <row r="57" spans="1:13" x14ac:dyDescent="0.25">
      <c r="A57" s="10"/>
      <c r="B57" s="31"/>
      <c r="C57" s="31"/>
      <c r="D57" s="32" t="s">
        <v>528</v>
      </c>
      <c r="E57" s="33"/>
      <c r="F57" s="2"/>
      <c r="G57" s="17" t="str">
        <f>IFERROR(VLOOKUP($D57,'Master Sheet'!$B:$AA,3,FALSE),"")</f>
        <v>LF-N1 Rear Lens Cap (Z-Series)</v>
      </c>
      <c r="H57" s="2"/>
      <c r="I57" s="2" t="str">
        <f>IFERROR(VLOOKUP($D57,'Master Sheet'!$B:$AA,2,FALSE),"")</f>
        <v>JMD00101</v>
      </c>
      <c r="J57" s="34" t="str">
        <f>IFERROR(VLOOKUP($D57,'Master Sheet'!$B:$AA,5,FALSE),"")</f>
        <v>018208041824</v>
      </c>
      <c r="K57" s="35">
        <f>IFERROR(VLOOKUP($D57,'Master Sheet'!$B:$AA,8,FALSE),"")</f>
        <v>107.955</v>
      </c>
      <c r="M57" s="9"/>
    </row>
    <row r="58" spans="1:13" x14ac:dyDescent="0.25">
      <c r="A58" s="10"/>
      <c r="B58" s="31"/>
      <c r="C58" s="31"/>
      <c r="D58" s="32" t="s">
        <v>73</v>
      </c>
      <c r="E58" s="33"/>
      <c r="F58" s="2"/>
      <c r="G58" s="17" t="str">
        <f>IFERROR(VLOOKUP($D58,'Master Sheet'!$B:$AA,3,FALSE),"")</f>
        <v xml:space="preserve">82MM FILTER NC NEUTRAL COLOUR </v>
      </c>
      <c r="H58" s="2"/>
      <c r="I58" s="2" t="str">
        <f>IFERROR(VLOOKUP($D58,'Master Sheet'!$B:$AA,2,FALSE),"")</f>
        <v>FTA70401</v>
      </c>
      <c r="J58" s="34" t="str">
        <f>IFERROR(VLOOKUP($D58,'Master Sheet'!$B:$AA,5,FALSE),"")</f>
        <v>018208024971</v>
      </c>
      <c r="K58" s="35">
        <f>IFERROR(VLOOKUP($D58,'Master Sheet'!$B:$AA,8,FALSE),"")</f>
        <v>1826.9550000000002</v>
      </c>
      <c r="M58" s="9"/>
    </row>
    <row r="59" spans="1:13" x14ac:dyDescent="0.25">
      <c r="A59" s="10"/>
      <c r="B59" s="31"/>
      <c r="C59" s="31"/>
      <c r="D59" s="32" t="s">
        <v>74</v>
      </c>
      <c r="E59" s="33"/>
      <c r="F59" s="2"/>
      <c r="G59" s="17" t="str">
        <f>IFERROR(VLOOKUP($D59,'Master Sheet'!$B:$AA,3,FALSE),"")</f>
        <v xml:space="preserve">82MM FILTER C-PL II </v>
      </c>
      <c r="H59" s="2"/>
      <c r="I59" s="2" t="str">
        <f>IFERROR(VLOOKUP($D59,'Master Sheet'!$B:$AA,2,FALSE),"")</f>
        <v>FTA70501</v>
      </c>
      <c r="J59" s="34" t="str">
        <f>IFERROR(VLOOKUP($D59,'Master Sheet'!$B:$AA,5,FALSE),"")</f>
        <v>018208024988</v>
      </c>
      <c r="K59" s="35">
        <f>IFERROR(VLOOKUP($D59,'Master Sheet'!$B:$AA,8,FALSE),"")</f>
        <v>3680.9549999999999</v>
      </c>
      <c r="M59" s="9"/>
    </row>
    <row r="60" spans="1:13" ht="13.5" thickBot="1" x14ac:dyDescent="0.3">
      <c r="A60" s="10"/>
      <c r="B60" s="31"/>
      <c r="C60" s="31"/>
      <c r="D60" s="32"/>
      <c r="E60" s="33"/>
      <c r="F60" s="2"/>
      <c r="G60" s="17" t="str">
        <f>IFERROR(VLOOKUP($D60,'Master Sheet'!$B:$AA,3,FALSE),"")</f>
        <v/>
      </c>
      <c r="H60" s="2"/>
      <c r="I60" s="2" t="str">
        <f>IFERROR(VLOOKUP($D60,'Master Sheet'!$B:$AA,2,FALSE),"")</f>
        <v/>
      </c>
      <c r="J60" s="34" t="str">
        <f>IFERROR(VLOOKUP($D60,'Master Sheet'!$B:$AA,5,FALSE),"")</f>
        <v/>
      </c>
      <c r="K60" s="35" t="str">
        <f>IFERROR(VLOOKUP($D60,'Master Sheet'!$B:$AA,8,FALSE),"")</f>
        <v/>
      </c>
      <c r="M60" s="9"/>
    </row>
    <row r="61" spans="1:13" ht="13.5" thickBot="1" x14ac:dyDescent="0.3">
      <c r="A61" s="10"/>
      <c r="B61" s="31"/>
      <c r="C61" s="46"/>
      <c r="D61" s="47" t="s">
        <v>251</v>
      </c>
      <c r="E61" s="48"/>
      <c r="F61" s="47"/>
      <c r="G61" s="49" t="str">
        <f>IFERROR(VLOOKUP($D61,'Master Sheet'!$B:$AA,3,FALSE),"")</f>
        <v/>
      </c>
      <c r="H61" s="47"/>
      <c r="I61" s="47" t="s">
        <v>239</v>
      </c>
      <c r="J61" s="61" t="str">
        <f>IFERROR(VLOOKUP($D61,'Master Sheet'!$B:$AA,5,FALSE),"")</f>
        <v/>
      </c>
      <c r="K61" s="62" t="str">
        <f>IFERROR(VLOOKUP($D61,'Master Sheet'!$B:$AA,8,FALSE),"")</f>
        <v/>
      </c>
      <c r="M61" s="9"/>
    </row>
    <row r="62" spans="1:13" x14ac:dyDescent="0.25">
      <c r="A62" s="10"/>
      <c r="B62" s="31"/>
      <c r="C62" s="31"/>
      <c r="D62" s="32" t="s">
        <v>116</v>
      </c>
      <c r="E62" s="33"/>
      <c r="F62" s="2"/>
      <c r="G62" s="17" t="str">
        <f>IFERROR(VLOOKUP($D62,'Master Sheet'!$B:$AA,3,FALSE),"")</f>
        <v>Nikon NIKKOR Z 85mm f/1.8 S Lens</v>
      </c>
      <c r="H62" s="2"/>
      <c r="I62" s="2" t="str">
        <f>IFERROR(VLOOKUP($D62,'Master Sheet'!$B:$AA,2,FALSE),"")</f>
        <v>JMA301DA</v>
      </c>
      <c r="J62" s="34" t="str">
        <f>IFERROR(VLOOKUP($D62,'Master Sheet'!$B:$AA,5,FALSE),"")</f>
        <v>018208200900</v>
      </c>
      <c r="K62" s="35">
        <f>IFERROR(VLOOKUP($D62,'Master Sheet'!$B:$AA,8,FALSE),"")</f>
        <v>14867.955000000002</v>
      </c>
      <c r="M62" s="9"/>
    </row>
    <row r="63" spans="1:13" x14ac:dyDescent="0.25">
      <c r="A63" s="10"/>
      <c r="B63" s="31"/>
      <c r="C63" s="31"/>
      <c r="D63" s="32" t="s">
        <v>533</v>
      </c>
      <c r="E63" s="33"/>
      <c r="F63" s="2"/>
      <c r="G63" s="17" t="str">
        <f>IFERROR(VLOOKUP($D63,'Master Sheet'!$B:$AA,3,FALSE),"")</f>
        <v>67mm Z-Series Lens Cap</v>
      </c>
      <c r="H63" s="2"/>
      <c r="I63" s="2" t="str">
        <f>IFERROR(VLOOKUP($D63,'Master Sheet'!$B:$AA,2,FALSE),"")</f>
        <v>JMD00701</v>
      </c>
      <c r="J63" s="34" t="str">
        <f>IFERROR(VLOOKUP($D63,'Master Sheet'!$B:$AA,5,FALSE),"")</f>
        <v>018208042302</v>
      </c>
      <c r="K63" s="35">
        <f>IFERROR(VLOOKUP($D63,'Master Sheet'!$B:$AA,8,FALSE),"")</f>
        <v>161.95499999999998</v>
      </c>
      <c r="M63" s="9"/>
    </row>
    <row r="64" spans="1:13" x14ac:dyDescent="0.25">
      <c r="A64" s="10"/>
      <c r="B64" s="31"/>
      <c r="C64" s="31"/>
      <c r="D64" s="32" t="s">
        <v>528</v>
      </c>
      <c r="E64" s="33"/>
      <c r="F64" s="2"/>
      <c r="G64" s="17" t="str">
        <f>IFERROR(VLOOKUP($D64,'Master Sheet'!$B:$AA,3,FALSE),"")</f>
        <v>LF-N1 Rear Lens Cap (Z-Series)</v>
      </c>
      <c r="H64" s="2"/>
      <c r="I64" s="2" t="str">
        <f>IFERROR(VLOOKUP($D64,'Master Sheet'!$B:$AA,2,FALSE),"")</f>
        <v>JMD00101</v>
      </c>
      <c r="J64" s="34" t="str">
        <f>IFERROR(VLOOKUP($D64,'Master Sheet'!$B:$AA,5,FALSE),"")</f>
        <v>018208041824</v>
      </c>
      <c r="K64" s="35">
        <f>IFERROR(VLOOKUP($D64,'Master Sheet'!$B:$AA,8,FALSE),"")</f>
        <v>107.955</v>
      </c>
      <c r="M64" s="9"/>
    </row>
    <row r="65" spans="1:13" x14ac:dyDescent="0.25">
      <c r="A65" s="10"/>
      <c r="B65" s="31"/>
      <c r="C65" s="31"/>
      <c r="D65" s="32" t="s">
        <v>67</v>
      </c>
      <c r="E65" s="33"/>
      <c r="F65" s="2"/>
      <c r="G65" s="17" t="str">
        <f>IFERROR(VLOOKUP($D65,'Master Sheet'!$B:$AA,3,FALSE),"")</f>
        <v>67MM FILTER NC NEUTRAL COLOUR</v>
      </c>
      <c r="H65" s="2"/>
      <c r="I65" s="2" t="str">
        <f>IFERROR(VLOOKUP($D65,'Master Sheet'!$B:$AA,2,FALSE),"")</f>
        <v>FTA13101</v>
      </c>
      <c r="J65" s="34" t="str">
        <f>IFERROR(VLOOKUP($D65,'Master Sheet'!$B:$AA,5,FALSE),"")</f>
        <v>018208022885</v>
      </c>
      <c r="K65" s="35">
        <f>IFERROR(VLOOKUP($D65,'Master Sheet'!$B:$AA,8,FALSE),"")</f>
        <v>863.95500000000004</v>
      </c>
      <c r="M65" s="9"/>
    </row>
    <row r="66" spans="1:13" x14ac:dyDescent="0.25">
      <c r="A66" s="10"/>
      <c r="B66" s="31"/>
      <c r="C66" s="31"/>
      <c r="D66" s="32" t="s">
        <v>68</v>
      </c>
      <c r="E66" s="33"/>
      <c r="F66" s="2"/>
      <c r="G66" s="17" t="str">
        <f>IFERROR(VLOOKUP($D66,'Master Sheet'!$B:$AA,3,FALSE),"")</f>
        <v xml:space="preserve">67MM FILTER C-PL II             </v>
      </c>
      <c r="H66" s="2"/>
      <c r="I66" s="2" t="str">
        <f>IFERROR(VLOOKUP($D66,'Master Sheet'!$B:$AA,2,FALSE),"")</f>
        <v>FTA13201</v>
      </c>
      <c r="J66" s="34" t="str">
        <f>IFERROR(VLOOKUP($D66,'Master Sheet'!$B:$AA,5,FALSE),"")</f>
        <v>018208022557</v>
      </c>
      <c r="K66" s="35">
        <f>IFERROR(VLOOKUP($D66,'Master Sheet'!$B:$AA,8,FALSE),"")</f>
        <v>2798.9549999999999</v>
      </c>
      <c r="M66" s="9"/>
    </row>
    <row r="67" spans="1:13" x14ac:dyDescent="0.25">
      <c r="A67" s="10"/>
      <c r="B67" s="31"/>
      <c r="C67" s="31"/>
      <c r="D67" s="32"/>
      <c r="E67" s="33"/>
      <c r="F67" s="2"/>
      <c r="H67" s="2"/>
      <c r="J67" s="34"/>
      <c r="K67" s="35"/>
      <c r="M67" s="9"/>
    </row>
    <row r="68" spans="1:13" ht="13.5" thickBot="1" x14ac:dyDescent="0.3">
      <c r="A68" s="10"/>
      <c r="B68" s="31"/>
      <c r="C68" s="31"/>
      <c r="D68" s="32"/>
      <c r="E68" s="33"/>
      <c r="F68" s="2"/>
      <c r="G68" s="17" t="str">
        <f>IFERROR(VLOOKUP($D68,'Master Sheet'!$B:$AA,3,FALSE),"")</f>
        <v/>
      </c>
      <c r="H68" s="2"/>
      <c r="I68" s="2" t="str">
        <f>IFERROR(VLOOKUP($D68,'Master Sheet'!$B:$AA,2,FALSE),"")</f>
        <v/>
      </c>
      <c r="J68" s="34" t="str">
        <f>IFERROR(VLOOKUP($D68,'Master Sheet'!$B:$AA,5,FALSE),"")</f>
        <v/>
      </c>
      <c r="K68" s="35" t="str">
        <f>IFERROR(VLOOKUP($D68,'Master Sheet'!$B:$AA,8,FALSE),"")</f>
        <v/>
      </c>
      <c r="M68" s="9"/>
    </row>
    <row r="69" spans="1:13" ht="15" customHeight="1" thickBot="1" x14ac:dyDescent="0.3">
      <c r="A69" s="10"/>
      <c r="B69" s="31"/>
      <c r="C69" s="31"/>
      <c r="D69" s="32"/>
      <c r="E69" s="36"/>
      <c r="F69" s="8"/>
      <c r="G69" s="96" t="s">
        <v>227</v>
      </c>
      <c r="H69" s="97"/>
      <c r="I69" s="97"/>
      <c r="J69" s="97"/>
      <c r="K69" s="98"/>
      <c r="M69" s="9"/>
    </row>
    <row r="70" spans="1:13" ht="13.5" thickBot="1" x14ac:dyDescent="0.3">
      <c r="A70" s="10"/>
      <c r="B70" s="31"/>
      <c r="C70" s="31"/>
      <c r="D70" s="38"/>
      <c r="E70" s="36"/>
      <c r="F70" s="8"/>
      <c r="G70" s="22"/>
      <c r="H70" s="8"/>
      <c r="J70" s="34"/>
      <c r="K70" s="35"/>
      <c r="M70" s="9"/>
    </row>
    <row r="71" spans="1:13" ht="13.5" thickBot="1" x14ac:dyDescent="0.3">
      <c r="A71" s="10"/>
      <c r="B71" s="31"/>
      <c r="C71" s="39" t="s">
        <v>48</v>
      </c>
      <c r="D71" s="40"/>
      <c r="E71" s="40"/>
      <c r="F71" s="55"/>
      <c r="G71" s="41" t="s">
        <v>643</v>
      </c>
      <c r="H71" s="55"/>
      <c r="I71" s="42" t="s">
        <v>52</v>
      </c>
      <c r="J71" s="43" t="s">
        <v>47</v>
      </c>
      <c r="K71" s="56" t="s">
        <v>943</v>
      </c>
      <c r="M71" s="9"/>
    </row>
    <row r="72" spans="1:13" ht="13.5" thickBot="1" x14ac:dyDescent="0.3">
      <c r="A72" s="10"/>
      <c r="B72" s="31"/>
      <c r="C72" s="31"/>
      <c r="D72" s="32"/>
      <c r="E72" s="33"/>
      <c r="F72" s="2"/>
      <c r="H72" s="2"/>
      <c r="J72" s="34"/>
      <c r="K72" s="35"/>
      <c r="M72" s="9"/>
    </row>
    <row r="73" spans="1:13" ht="13.5" thickBot="1" x14ac:dyDescent="0.3">
      <c r="A73" s="10"/>
      <c r="B73" s="31"/>
      <c r="C73" s="46"/>
      <c r="D73" s="47" t="s">
        <v>472</v>
      </c>
      <c r="E73" s="48"/>
      <c r="F73" s="47"/>
      <c r="G73" s="49"/>
      <c r="H73" s="47"/>
      <c r="I73" s="47" t="s">
        <v>703</v>
      </c>
      <c r="J73" s="61"/>
      <c r="K73" s="62"/>
      <c r="M73" s="9"/>
    </row>
    <row r="74" spans="1:13" x14ac:dyDescent="0.25">
      <c r="A74" s="10"/>
      <c r="B74" s="31"/>
      <c r="C74" s="31"/>
      <c r="D74" s="32" t="s">
        <v>473</v>
      </c>
      <c r="E74" s="33"/>
      <c r="F74" s="2"/>
      <c r="G74" s="17" t="str">
        <f>IFERROR(VLOOKUP($D74,'Master Sheet'!$B:$AA,3,FALSE),"")</f>
        <v>Nikon NIKKOR Z 18-140MM F/3.5-6.3 VR DX Lens</v>
      </c>
      <c r="H74" s="2"/>
      <c r="I74" s="2" t="str">
        <f>IFERROR(VLOOKUP($D74,'Master Sheet'!$B:$AA,2,FALSE),"")</f>
        <v>JMA713DA</v>
      </c>
      <c r="J74" s="34" t="str">
        <f>IFERROR(VLOOKUP($D74,'Master Sheet'!$B:$AA,5,FALSE),"")</f>
        <v>018208201044</v>
      </c>
      <c r="K74" s="35">
        <f>IFERROR(VLOOKUP($D74,'Master Sheet'!$B:$AA,8,FALSE),"")</f>
        <v>9944.9550000000017</v>
      </c>
      <c r="M74" s="9"/>
    </row>
    <row r="75" spans="1:13" ht="15" customHeight="1" x14ac:dyDescent="0.25">
      <c r="A75" s="10"/>
      <c r="B75" s="31"/>
      <c r="C75" s="31"/>
      <c r="D75" s="32" t="s">
        <v>529</v>
      </c>
      <c r="E75" s="33"/>
      <c r="F75" s="2"/>
      <c r="G75" s="17" t="str">
        <f>IFERROR(VLOOKUP($D75,'Master Sheet'!$B:$AA,3,FALSE),"")</f>
        <v>62mm Z-Series Lens Cap</v>
      </c>
      <c r="H75" s="2"/>
      <c r="I75" s="2" t="str">
        <f>IFERROR(VLOOKUP($D75,'Master Sheet'!$B:$AA,2,FALSE),"")</f>
        <v>JMD00201</v>
      </c>
      <c r="J75" s="34" t="str">
        <f>IFERROR(VLOOKUP($D75,'Master Sheet'!$B:$AA,5,FALSE),"")</f>
        <v>4960759149893</v>
      </c>
      <c r="K75" s="35">
        <f>IFERROR(VLOOKUP($D75,'Master Sheet'!$B:$AA,8,FALSE),"")</f>
        <v>170.95499999999998</v>
      </c>
      <c r="M75" s="9"/>
    </row>
    <row r="76" spans="1:13" x14ac:dyDescent="0.25">
      <c r="A76" s="10"/>
      <c r="B76" s="31"/>
      <c r="C76" s="31"/>
      <c r="D76" s="32" t="s">
        <v>528</v>
      </c>
      <c r="E76" s="33"/>
      <c r="F76" s="2"/>
      <c r="G76" s="17" t="str">
        <f>IFERROR(VLOOKUP($D76,'Master Sheet'!$B:$AA,3,FALSE),"")</f>
        <v>LF-N1 Rear Lens Cap (Z-Series)</v>
      </c>
      <c r="H76" s="2"/>
      <c r="I76" s="2" t="str">
        <f>IFERROR(VLOOKUP($D76,'Master Sheet'!$B:$AA,2,FALSE),"")</f>
        <v>JMD00101</v>
      </c>
      <c r="J76" s="34" t="str">
        <f>IFERROR(VLOOKUP($D76,'Master Sheet'!$B:$AA,5,FALSE),"")</f>
        <v>018208041824</v>
      </c>
      <c r="K76" s="35">
        <f>IFERROR(VLOOKUP($D76,'Master Sheet'!$B:$AA,8,FALSE),"")</f>
        <v>107.955</v>
      </c>
      <c r="M76" s="9"/>
    </row>
    <row r="77" spans="1:13" x14ac:dyDescent="0.25">
      <c r="A77" s="10"/>
      <c r="B77" s="31"/>
      <c r="C77" s="31"/>
      <c r="D77" s="32" t="s">
        <v>69</v>
      </c>
      <c r="E77" s="33"/>
      <c r="F77" s="2"/>
      <c r="G77" s="17" t="str">
        <f>IFERROR(VLOOKUP($D77,'Master Sheet'!$B:$AA,3,FALSE),"")</f>
        <v>62MM FILTER NC NEUTRAL COLOUR</v>
      </c>
      <c r="H77" s="2"/>
      <c r="I77" s="2" t="str">
        <f>IFERROR(VLOOKUP($D77,'Master Sheet'!$B:$AA,2,FALSE),"")</f>
        <v>FTA11401</v>
      </c>
      <c r="J77" s="34" t="str">
        <f>IFERROR(VLOOKUP($D77,'Master Sheet'!$B:$AA,5,FALSE),"")</f>
        <v>018208024803</v>
      </c>
      <c r="K77" s="35">
        <f>IFERROR(VLOOKUP($D77,'Master Sheet'!$B:$AA,8,FALSE),"")</f>
        <v>710.95500000000004</v>
      </c>
      <c r="M77" s="9"/>
    </row>
    <row r="78" spans="1:13" x14ac:dyDescent="0.25">
      <c r="A78" s="10"/>
      <c r="B78" s="31"/>
      <c r="C78" s="31"/>
      <c r="D78" s="32" t="s">
        <v>70</v>
      </c>
      <c r="E78" s="33"/>
      <c r="F78" s="2"/>
      <c r="G78" s="17" t="str">
        <f>IFERROR(VLOOKUP($D78,'Master Sheet'!$B:$AA,3,FALSE),"")</f>
        <v xml:space="preserve">62MM C-PL II FILTER                  </v>
      </c>
      <c r="H78" s="2"/>
      <c r="I78" s="2" t="str">
        <f>IFERROR(VLOOKUP($D78,'Master Sheet'!$B:$AA,2,FALSE),"")</f>
        <v>FTA11501</v>
      </c>
      <c r="J78" s="34" t="str">
        <f>IFERROR(VLOOKUP($D78,'Master Sheet'!$B:$AA,5,FALSE),"")</f>
        <v>018208022526</v>
      </c>
      <c r="K78" s="35">
        <f>IFERROR(VLOOKUP($D78,'Master Sheet'!$B:$AA,8,FALSE),"")</f>
        <v>2447.9549999999999</v>
      </c>
      <c r="M78" s="9"/>
    </row>
    <row r="79" spans="1:13" ht="13.5" thickBot="1" x14ac:dyDescent="0.3">
      <c r="A79" s="10"/>
      <c r="B79" s="31"/>
      <c r="C79" s="31"/>
      <c r="D79" s="32"/>
      <c r="E79" s="33"/>
      <c r="F79" s="2"/>
      <c r="G79" s="17" t="str">
        <f>IFERROR(VLOOKUP($D79,'Master Sheet'!$B:$AA,3,FALSE),"")</f>
        <v/>
      </c>
      <c r="H79" s="2"/>
      <c r="I79" s="2" t="str">
        <f>IFERROR(VLOOKUP($D79,'Master Sheet'!$B:$AA,2,FALSE),"")</f>
        <v/>
      </c>
      <c r="J79" s="34" t="str">
        <f>IFERROR(VLOOKUP($D79,'Master Sheet'!$B:$AA,5,FALSE),"")</f>
        <v/>
      </c>
      <c r="K79" s="35" t="str">
        <f>IFERROR(VLOOKUP($D79,'Master Sheet'!$B:$AA,8,FALSE),"")</f>
        <v/>
      </c>
      <c r="M79" s="9"/>
    </row>
    <row r="80" spans="1:13" ht="13.5" thickBot="1" x14ac:dyDescent="0.3">
      <c r="A80" s="10"/>
      <c r="B80" s="31"/>
      <c r="C80" s="46"/>
      <c r="D80" s="47" t="s">
        <v>249</v>
      </c>
      <c r="E80" s="48"/>
      <c r="F80" s="47"/>
      <c r="G80" s="49" t="str">
        <f>IFERROR(VLOOKUP($D80,'Master Sheet'!$B:$AA,3,FALSE),"")</f>
        <v/>
      </c>
      <c r="H80" s="47"/>
      <c r="I80" s="47" t="s">
        <v>235</v>
      </c>
      <c r="J80" s="61" t="str">
        <f>IFERROR(VLOOKUP($D80,'Master Sheet'!$B:$AA,5,FALSE),"")</f>
        <v/>
      </c>
      <c r="K80" s="62" t="str">
        <f>IFERROR(VLOOKUP($D80,'Master Sheet'!$B:$AA,8,FALSE),"")</f>
        <v/>
      </c>
      <c r="M80" s="9"/>
    </row>
    <row r="81" spans="1:13" x14ac:dyDescent="0.25">
      <c r="A81" s="10"/>
      <c r="B81" s="31"/>
      <c r="C81" s="31"/>
      <c r="D81" s="32" t="s">
        <v>108</v>
      </c>
      <c r="E81" s="33"/>
      <c r="F81" s="2"/>
      <c r="G81" s="17" t="str">
        <f>IFERROR(VLOOKUP($D81,'Master Sheet'!$B:$AA,3,FALSE),"")</f>
        <v>Nikon NIKKOR Z 24-70mm f/2.8 S Lens</v>
      </c>
      <c r="H81" s="2"/>
      <c r="I81" s="2" t="str">
        <f>IFERROR(VLOOKUP($D81,'Master Sheet'!$B:$AA,2,FALSE),"")</f>
        <v>JMA708DA</v>
      </c>
      <c r="J81" s="34" t="str">
        <f>IFERROR(VLOOKUP($D81,'Master Sheet'!$B:$AA,5,FALSE),"")</f>
        <v>018208200894</v>
      </c>
      <c r="K81" s="35">
        <f>IFERROR(VLOOKUP($D81,'Master Sheet'!$B:$AA,8,FALSE),"")</f>
        <v>40697.955000000002</v>
      </c>
      <c r="M81" s="9"/>
    </row>
    <row r="82" spans="1:13" x14ac:dyDescent="0.25">
      <c r="A82" s="10"/>
      <c r="B82" s="31"/>
      <c r="C82" s="31"/>
      <c r="D82" s="32" t="s">
        <v>530</v>
      </c>
      <c r="E82" s="33"/>
      <c r="F82" s="2"/>
      <c r="G82" s="17" t="str">
        <f>IFERROR(VLOOKUP($D82,'Master Sheet'!$B:$AA,3,FALSE),"")</f>
        <v>82mm Z-Series Lens Cap</v>
      </c>
      <c r="H82" s="2"/>
      <c r="I82" s="2" t="str">
        <f>IFERROR(VLOOKUP($D82,'Master Sheet'!$B:$AA,2,FALSE),"")</f>
        <v>JMD00401</v>
      </c>
      <c r="J82" s="34" t="str">
        <f>IFERROR(VLOOKUP($D82,'Master Sheet'!$B:$AA,5,FALSE),"")</f>
        <v>4960759149916</v>
      </c>
      <c r="K82" s="35">
        <f>IFERROR(VLOOKUP($D82,'Master Sheet'!$B:$AA,8,FALSE),"")</f>
        <v>278.95499999999998</v>
      </c>
      <c r="M82" s="9"/>
    </row>
    <row r="83" spans="1:13" x14ac:dyDescent="0.25">
      <c r="A83" s="10"/>
      <c r="B83" s="31"/>
      <c r="C83" s="31"/>
      <c r="D83" s="32" t="s">
        <v>528</v>
      </c>
      <c r="E83" s="33"/>
      <c r="F83" s="2"/>
      <c r="G83" s="17" t="str">
        <f>IFERROR(VLOOKUP($D83,'Master Sheet'!$B:$AA,3,FALSE),"")</f>
        <v>LF-N1 Rear Lens Cap (Z-Series)</v>
      </c>
      <c r="H83" s="2"/>
      <c r="I83" s="2" t="str">
        <f>IFERROR(VLOOKUP($D83,'Master Sheet'!$B:$AA,2,FALSE),"")</f>
        <v>JMD00101</v>
      </c>
      <c r="J83" s="34" t="str">
        <f>IFERROR(VLOOKUP($D83,'Master Sheet'!$B:$AA,5,FALSE),"")</f>
        <v>018208041824</v>
      </c>
      <c r="K83" s="35">
        <f>IFERROR(VLOOKUP($D83,'Master Sheet'!$B:$AA,8,FALSE),"")</f>
        <v>107.955</v>
      </c>
      <c r="M83" s="9"/>
    </row>
    <row r="84" spans="1:13" x14ac:dyDescent="0.25">
      <c r="A84" s="10"/>
      <c r="B84" s="31"/>
      <c r="C84" s="31"/>
      <c r="D84" s="32" t="s">
        <v>73</v>
      </c>
      <c r="E84" s="33"/>
      <c r="F84" s="2"/>
      <c r="G84" s="17" t="str">
        <f>IFERROR(VLOOKUP($D84,'Master Sheet'!$B:$AA,3,FALSE),"")</f>
        <v xml:space="preserve">82MM FILTER NC NEUTRAL COLOUR </v>
      </c>
      <c r="H84" s="2"/>
      <c r="I84" s="2" t="str">
        <f>IFERROR(VLOOKUP($D84,'Master Sheet'!$B:$AA,2,FALSE),"")</f>
        <v>FTA70401</v>
      </c>
      <c r="J84" s="34" t="str">
        <f>IFERROR(VLOOKUP($D84,'Master Sheet'!$B:$AA,5,FALSE),"")</f>
        <v>018208024971</v>
      </c>
      <c r="K84" s="35">
        <f>IFERROR(VLOOKUP($D84,'Master Sheet'!$B:$AA,8,FALSE),"")</f>
        <v>1826.9550000000002</v>
      </c>
      <c r="M84" s="9"/>
    </row>
    <row r="85" spans="1:13" x14ac:dyDescent="0.25">
      <c r="A85" s="10"/>
      <c r="B85" s="31"/>
      <c r="C85" s="31"/>
      <c r="D85" s="32" t="s">
        <v>74</v>
      </c>
      <c r="E85" s="33"/>
      <c r="F85" s="2"/>
      <c r="G85" s="17" t="str">
        <f>IFERROR(VLOOKUP($D85,'Master Sheet'!$B:$AA,3,FALSE),"")</f>
        <v xml:space="preserve">82MM FILTER C-PL II </v>
      </c>
      <c r="H85" s="2"/>
      <c r="I85" s="2" t="str">
        <f>IFERROR(VLOOKUP($D85,'Master Sheet'!$B:$AA,2,FALSE),"")</f>
        <v>FTA70501</v>
      </c>
      <c r="J85" s="34" t="str">
        <f>IFERROR(VLOOKUP($D85,'Master Sheet'!$B:$AA,5,FALSE),"")</f>
        <v>018208024988</v>
      </c>
      <c r="K85" s="35">
        <f>IFERROR(VLOOKUP($D85,'Master Sheet'!$B:$AA,8,FALSE),"")</f>
        <v>3680.9549999999999</v>
      </c>
      <c r="M85" s="9"/>
    </row>
    <row r="86" spans="1:13" ht="13.5" thickBot="1" x14ac:dyDescent="0.3">
      <c r="A86" s="10"/>
      <c r="B86" s="31"/>
      <c r="C86" s="31"/>
      <c r="D86" s="32"/>
      <c r="E86" s="33"/>
      <c r="F86" s="2"/>
      <c r="G86" s="17" t="str">
        <f>IFERROR(VLOOKUP($D86,'Master Sheet'!$B:$AA,3,FALSE),"")</f>
        <v/>
      </c>
      <c r="H86" s="2"/>
      <c r="I86" s="2" t="str">
        <f>IFERROR(VLOOKUP($D86,'Master Sheet'!$B:$AA,2,FALSE),"")</f>
        <v/>
      </c>
      <c r="J86" s="34" t="str">
        <f>IFERROR(VLOOKUP($D86,'Master Sheet'!$B:$AA,5,FALSE),"")</f>
        <v/>
      </c>
      <c r="K86" s="35" t="str">
        <f>IFERROR(VLOOKUP($D86,'Master Sheet'!$B:$AA,8,FALSE),"")</f>
        <v/>
      </c>
      <c r="M86" s="9"/>
    </row>
    <row r="87" spans="1:13" ht="13.5" thickBot="1" x14ac:dyDescent="0.3">
      <c r="A87" s="10"/>
      <c r="B87" s="31"/>
      <c r="C87" s="46"/>
      <c r="D87" s="47" t="s">
        <v>305</v>
      </c>
      <c r="E87" s="48"/>
      <c r="F87" s="47"/>
      <c r="G87" s="49" t="str">
        <f>IFERROR(VLOOKUP($D87,'Master Sheet'!$B:$AA,3,FALSE),"")</f>
        <v/>
      </c>
      <c r="H87" s="47"/>
      <c r="I87" s="47" t="s">
        <v>246</v>
      </c>
      <c r="J87" s="61" t="str">
        <f>IFERROR(VLOOKUP($D87,'Master Sheet'!$B:$AA,5,FALSE),"")</f>
        <v/>
      </c>
      <c r="K87" s="62" t="str">
        <f>IFERROR(VLOOKUP($D87,'Master Sheet'!$B:$AA,8,FALSE),"")</f>
        <v/>
      </c>
      <c r="M87" s="9"/>
    </row>
    <row r="88" spans="1:13" x14ac:dyDescent="0.25">
      <c r="A88" s="10"/>
      <c r="B88" s="31"/>
      <c r="C88" s="31"/>
      <c r="D88" s="32" t="s">
        <v>109</v>
      </c>
      <c r="E88" s="33"/>
      <c r="F88" s="2"/>
      <c r="G88" s="17" t="str">
        <f>IFERROR(VLOOKUP($D88,'Master Sheet'!$B:$AA,3,FALSE),"")</f>
        <v>Nikon NIKKOR Z 24-70MM F4 Z S LENS</v>
      </c>
      <c r="H88" s="2"/>
      <c r="I88" s="2" t="str">
        <f>IFERROR(VLOOKUP($D88,'Master Sheet'!$B:$AA,2,FALSE),"")</f>
        <v>JMA704DA</v>
      </c>
      <c r="J88" s="34" t="str">
        <f>IFERROR(VLOOKUP($D88,'Master Sheet'!$B:$AA,5,FALSE),"")</f>
        <v>018208200726</v>
      </c>
      <c r="K88" s="35">
        <f>IFERROR(VLOOKUP($D88,'Master Sheet'!$B:$AA,8,FALSE),"")</f>
        <v>13049.955000000002</v>
      </c>
      <c r="M88" s="9"/>
    </row>
    <row r="89" spans="1:13" x14ac:dyDescent="0.25">
      <c r="A89" s="10"/>
      <c r="B89" s="31"/>
      <c r="C89" s="31"/>
      <c r="D89" s="32" t="s">
        <v>534</v>
      </c>
      <c r="E89" s="33"/>
      <c r="F89" s="2"/>
      <c r="G89" s="17" t="str">
        <f>IFERROR(VLOOKUP($D89,'Master Sheet'!$B:$AA,3,FALSE),"")</f>
        <v>72mm Z-Series Lens Cap</v>
      </c>
      <c r="H89" s="2"/>
      <c r="I89" s="2" t="str">
        <f>IFERROR(VLOOKUP($D89,'Master Sheet'!$B:$AA,2,FALSE),"")</f>
        <v>JMD00301</v>
      </c>
      <c r="J89" s="34" t="str">
        <f>IFERROR(VLOOKUP($D89,'Master Sheet'!$B:$AA,5,FALSE),"")</f>
        <v>018208041954</v>
      </c>
      <c r="K89" s="35">
        <f>IFERROR(VLOOKUP($D89,'Master Sheet'!$B:$AA,8,FALSE),"")</f>
        <v>188.95499999999998</v>
      </c>
      <c r="M89" s="9"/>
    </row>
    <row r="90" spans="1:13" x14ac:dyDescent="0.25">
      <c r="A90" s="10"/>
      <c r="B90" s="31"/>
      <c r="C90" s="31"/>
      <c r="D90" s="32" t="s">
        <v>528</v>
      </c>
      <c r="E90" s="33"/>
      <c r="F90" s="2"/>
      <c r="G90" s="17" t="str">
        <f>IFERROR(VLOOKUP($D90,'Master Sheet'!$B:$AA,3,FALSE),"")</f>
        <v>LF-N1 Rear Lens Cap (Z-Series)</v>
      </c>
      <c r="H90" s="2"/>
      <c r="I90" s="2" t="str">
        <f>IFERROR(VLOOKUP($D90,'Master Sheet'!$B:$AA,2,FALSE),"")</f>
        <v>JMD00101</v>
      </c>
      <c r="J90" s="34" t="str">
        <f>IFERROR(VLOOKUP($D90,'Master Sheet'!$B:$AA,5,FALSE),"")</f>
        <v>018208041824</v>
      </c>
      <c r="K90" s="35">
        <f>IFERROR(VLOOKUP($D90,'Master Sheet'!$B:$AA,8,FALSE),"")</f>
        <v>107.955</v>
      </c>
      <c r="M90" s="9"/>
    </row>
    <row r="91" spans="1:13" x14ac:dyDescent="0.25">
      <c r="A91" s="10"/>
      <c r="B91" s="31"/>
      <c r="C91" s="31"/>
      <c r="D91" s="32" t="s">
        <v>61</v>
      </c>
      <c r="E91" s="33"/>
      <c r="F91" s="2"/>
      <c r="G91" s="17" t="str">
        <f>IFERROR(VLOOKUP($D91,'Master Sheet'!$B:$AA,3,FALSE),"")</f>
        <v>72MM FILTER NC NEUTRAL COLOUR</v>
      </c>
      <c r="H91" s="2"/>
      <c r="I91" s="2" t="str">
        <f>IFERROR(VLOOKUP($D91,'Master Sheet'!$B:$AA,2,FALSE),"")</f>
        <v>FTA16601</v>
      </c>
      <c r="J91" s="34" t="str">
        <f>IFERROR(VLOOKUP($D91,'Master Sheet'!$B:$AA,5,FALSE),"")</f>
        <v>018208024810</v>
      </c>
      <c r="K91" s="35">
        <f>IFERROR(VLOOKUP($D91,'Master Sheet'!$B:$AA,8,FALSE),"")</f>
        <v>1439.9550000000002</v>
      </c>
      <c r="M91" s="9"/>
    </row>
    <row r="92" spans="1:13" x14ac:dyDescent="0.25">
      <c r="A92" s="10"/>
      <c r="B92" s="31"/>
      <c r="C92" s="31"/>
      <c r="D92" s="32" t="s">
        <v>62</v>
      </c>
      <c r="E92" s="33"/>
      <c r="F92" s="2"/>
      <c r="G92" s="17" t="str">
        <f>IFERROR(VLOOKUP($D92,'Master Sheet'!$B:$AA,3,FALSE),"")</f>
        <v xml:space="preserve">72MM FILTER C-PL II                     </v>
      </c>
      <c r="H92" s="2"/>
      <c r="I92" s="2" t="str">
        <f>IFERROR(VLOOKUP($D92,'Master Sheet'!$B:$AA,2,FALSE),"")</f>
        <v>FTA16701</v>
      </c>
      <c r="J92" s="34" t="str">
        <f>IFERROR(VLOOKUP($D92,'Master Sheet'!$B:$AA,5,FALSE),"")</f>
        <v>018208022571</v>
      </c>
      <c r="K92" s="35">
        <f>IFERROR(VLOOKUP($D92,'Master Sheet'!$B:$AA,8,FALSE),"")</f>
        <v>3059.9549999999999</v>
      </c>
      <c r="M92" s="9"/>
    </row>
    <row r="93" spans="1:13" ht="13.5" thickBot="1" x14ac:dyDescent="0.3">
      <c r="A93" s="10"/>
      <c r="B93" s="31"/>
      <c r="C93" s="31"/>
      <c r="D93" s="32"/>
      <c r="E93" s="33"/>
      <c r="F93" s="2"/>
      <c r="G93" s="17" t="str">
        <f>IFERROR(VLOOKUP($D93,'Master Sheet'!$B:$AA,3,FALSE),"")</f>
        <v/>
      </c>
      <c r="H93" s="2"/>
      <c r="I93" s="2" t="str">
        <f>IFERROR(VLOOKUP($D93,'Master Sheet'!$B:$AA,2,FALSE),"")</f>
        <v/>
      </c>
      <c r="J93" s="34" t="str">
        <f>IFERROR(VLOOKUP($D93,'Master Sheet'!$B:$AA,5,FALSE),"")</f>
        <v/>
      </c>
      <c r="K93" s="35" t="str">
        <f>IFERROR(VLOOKUP($D93,'Master Sheet'!$B:$AA,8,FALSE),"")</f>
        <v/>
      </c>
      <c r="M93" s="9"/>
    </row>
    <row r="94" spans="1:13" ht="13.5" thickBot="1" x14ac:dyDescent="0.3">
      <c r="A94" s="10"/>
      <c r="B94" s="31"/>
      <c r="C94" s="46"/>
      <c r="D94" s="47" t="s">
        <v>499</v>
      </c>
      <c r="E94" s="48"/>
      <c r="F94" s="47"/>
      <c r="G94" s="49" t="str">
        <f>IFERROR(VLOOKUP($D94,'Master Sheet'!$B:$AA,3,FALSE),"")</f>
        <v/>
      </c>
      <c r="H94" s="47"/>
      <c r="I94" s="47" t="s">
        <v>704</v>
      </c>
      <c r="J94" s="61"/>
      <c r="K94" s="62" t="str">
        <f>IFERROR(VLOOKUP($D94,'Master Sheet'!$B:$AA,8,FALSE),"")</f>
        <v/>
      </c>
      <c r="M94" s="9"/>
    </row>
    <row r="95" spans="1:13" x14ac:dyDescent="0.25">
      <c r="A95" s="10"/>
      <c r="B95" s="31"/>
      <c r="C95" s="31"/>
      <c r="D95" s="32" t="s">
        <v>482</v>
      </c>
      <c r="E95" s="33"/>
      <c r="F95" s="2"/>
      <c r="G95" s="17" t="str">
        <f>IFERROR(VLOOKUP($D95,'Master Sheet'!$B:$AA,3,FALSE),"")</f>
        <v>Nikon NIKKOR Z 24-120mm F4 S Lens</v>
      </c>
      <c r="H95" s="2"/>
      <c r="I95" s="2" t="str">
        <f>IFERROR(VLOOKUP($D95,'Master Sheet'!$B:$AA,2,FALSE),"")</f>
        <v>JMA714DA</v>
      </c>
      <c r="J95" s="34" t="str">
        <f>IFERROR(VLOOKUP($D95,'Master Sheet'!$B:$AA,5,FALSE),"")</f>
        <v>018208201051</v>
      </c>
      <c r="K95" s="35">
        <f>IFERROR(VLOOKUP($D95,'Master Sheet'!$B:$AA,8,FALSE),"")</f>
        <v>17216.955000000002</v>
      </c>
      <c r="M95" s="9"/>
    </row>
    <row r="96" spans="1:13" x14ac:dyDescent="0.25">
      <c r="A96" s="10"/>
      <c r="B96" s="31"/>
      <c r="C96" s="31"/>
      <c r="D96" s="32" t="s">
        <v>535</v>
      </c>
      <c r="E96" s="33"/>
      <c r="F96" s="2"/>
      <c r="G96" s="17" t="str">
        <f>IFERROR(VLOOKUP($D96,'Master Sheet'!$B:$AA,3,FALSE),"")</f>
        <v>77mm Z-Series Lens Cap</v>
      </c>
      <c r="H96" s="2"/>
      <c r="I96" s="2" t="str">
        <f>IFERROR(VLOOKUP($D96,'Master Sheet'!$B:$AA,2,FALSE),"")</f>
        <v>JMD00801</v>
      </c>
      <c r="J96" s="34" t="str">
        <f>IFERROR(VLOOKUP($D96,'Master Sheet'!$B:$AA,5,FALSE),"")</f>
        <v>4960759902238</v>
      </c>
      <c r="K96" s="35">
        <f>IFERROR(VLOOKUP($D96,'Master Sheet'!$B:$AA,8,FALSE),"")</f>
        <v>233.95499999999998</v>
      </c>
      <c r="M96" s="9"/>
    </row>
    <row r="97" spans="1:13" x14ac:dyDescent="0.25">
      <c r="A97" s="10"/>
      <c r="B97" s="31"/>
      <c r="C97" s="31"/>
      <c r="D97" s="32" t="s">
        <v>528</v>
      </c>
      <c r="E97" s="33"/>
      <c r="F97" s="2"/>
      <c r="G97" s="17" t="str">
        <f>IFERROR(VLOOKUP($D97,'Master Sheet'!$B:$AA,3,FALSE),"")</f>
        <v>LF-N1 Rear Lens Cap (Z-Series)</v>
      </c>
      <c r="H97" s="2"/>
      <c r="I97" s="2" t="str">
        <f>IFERROR(VLOOKUP($D97,'Master Sheet'!$B:$AA,2,FALSE),"")</f>
        <v>JMD00101</v>
      </c>
      <c r="J97" s="34" t="str">
        <f>IFERROR(VLOOKUP($D97,'Master Sheet'!$B:$AA,5,FALSE),"")</f>
        <v>018208041824</v>
      </c>
      <c r="K97" s="35">
        <f>IFERROR(VLOOKUP($D97,'Master Sheet'!$B:$AA,8,FALSE),"")</f>
        <v>107.955</v>
      </c>
      <c r="M97" s="9"/>
    </row>
    <row r="98" spans="1:13" x14ac:dyDescent="0.25">
      <c r="A98" s="10"/>
      <c r="B98" s="31"/>
      <c r="C98" s="31"/>
      <c r="D98" s="32" t="s">
        <v>63</v>
      </c>
      <c r="E98" s="33"/>
      <c r="F98" s="2"/>
      <c r="G98" s="17" t="str">
        <f>IFERROR(VLOOKUP($D98,'Master Sheet'!$B:$AA,3,FALSE),"")</f>
        <v>77MM FILTER NC NEUTRAL COLOUR</v>
      </c>
      <c r="H98" s="2"/>
      <c r="I98" s="2" t="str">
        <f>IFERROR(VLOOKUP($D98,'Master Sheet'!$B:$AA,2,FALSE),"")</f>
        <v>FTA60801</v>
      </c>
      <c r="J98" s="34" t="str">
        <f>IFERROR(VLOOKUP($D98,'Master Sheet'!$B:$AA,5,FALSE),"")</f>
        <v>018208024827</v>
      </c>
      <c r="K98" s="35">
        <f>IFERROR(VLOOKUP($D98,'Master Sheet'!$B:$AA,8,FALSE),"")</f>
        <v>1592.9550000000002</v>
      </c>
      <c r="M98" s="9"/>
    </row>
    <row r="99" spans="1:13" x14ac:dyDescent="0.25">
      <c r="A99" s="10"/>
      <c r="B99" s="31"/>
      <c r="C99" s="31"/>
      <c r="D99" s="32" t="s">
        <v>64</v>
      </c>
      <c r="E99" s="33"/>
      <c r="F99" s="2"/>
      <c r="G99" s="17" t="str">
        <f>IFERROR(VLOOKUP($D99,'Master Sheet'!$B:$AA,3,FALSE),"")</f>
        <v>77MM FILTER C-PL II</v>
      </c>
      <c r="H99" s="2"/>
      <c r="I99" s="2" t="str">
        <f>IFERROR(VLOOKUP($D99,'Master Sheet'!$B:$AA,2,FALSE),"")</f>
        <v>FTA61001</v>
      </c>
      <c r="J99" s="34" t="str">
        <f>IFERROR(VLOOKUP($D99,'Master Sheet'!$B:$AA,5,FALSE),"")</f>
        <v>018208022601</v>
      </c>
      <c r="K99" s="35">
        <f>IFERROR(VLOOKUP($D99,'Master Sheet'!$B:$AA,8,FALSE),"")</f>
        <v>3680.9549999999999</v>
      </c>
      <c r="M99" s="9"/>
    </row>
    <row r="100" spans="1:13" ht="13.5" thickBot="1" x14ac:dyDescent="0.3">
      <c r="A100" s="10"/>
      <c r="B100" s="31"/>
      <c r="C100" s="31"/>
      <c r="D100" s="32"/>
      <c r="E100" s="33"/>
      <c r="F100" s="2"/>
      <c r="G100" s="17" t="str">
        <f>IFERROR(VLOOKUP($D100,'Master Sheet'!$B:$AA,3,FALSE),"")</f>
        <v/>
      </c>
      <c r="H100" s="2"/>
      <c r="I100" s="2" t="str">
        <f>IFERROR(VLOOKUP($D100,'Master Sheet'!$B:$AA,2,FALSE),"")</f>
        <v/>
      </c>
      <c r="J100" s="34" t="str">
        <f>IFERROR(VLOOKUP($D100,'Master Sheet'!$B:$AA,5,FALSE),"")</f>
        <v/>
      </c>
      <c r="K100" s="35" t="str">
        <f>IFERROR(VLOOKUP($D100,'Master Sheet'!$B:$AA,8,FALSE),"")</f>
        <v/>
      </c>
      <c r="M100" s="9"/>
    </row>
    <row r="101" spans="1:13" ht="13.5" thickBot="1" x14ac:dyDescent="0.3">
      <c r="A101" s="10"/>
      <c r="B101" s="31"/>
      <c r="C101" s="46"/>
      <c r="D101" s="47" t="s">
        <v>306</v>
      </c>
      <c r="E101" s="48"/>
      <c r="F101" s="47"/>
      <c r="G101" s="49" t="str">
        <f>IFERROR(VLOOKUP($D101,'Master Sheet'!$B:$AA,3,FALSE),"")</f>
        <v/>
      </c>
      <c r="H101" s="47"/>
      <c r="I101" s="47" t="s">
        <v>233</v>
      </c>
      <c r="J101" s="61" t="str">
        <f>IFERROR(VLOOKUP($D101,'Master Sheet'!$B:$AA,5,FALSE),"")</f>
        <v/>
      </c>
      <c r="K101" s="62" t="str">
        <f>IFERROR(VLOOKUP($D101,'Master Sheet'!$B:$AA,8,FALSE),"")</f>
        <v/>
      </c>
      <c r="M101" s="9"/>
    </row>
    <row r="102" spans="1:13" x14ac:dyDescent="0.25">
      <c r="A102" s="10"/>
      <c r="B102" s="31"/>
      <c r="C102" s="31"/>
      <c r="D102" s="32" t="s">
        <v>107</v>
      </c>
      <c r="E102" s="33"/>
      <c r="F102" s="2"/>
      <c r="G102" s="17" t="str">
        <f>IFERROR(VLOOKUP($D102,'Master Sheet'!$B:$AA,3,FALSE),"")</f>
        <v>Nikon NIKKOR Z 24-200mm F4-6.3 VR Z Lens</v>
      </c>
      <c r="H102" s="2"/>
      <c r="I102" s="2" t="str">
        <f>IFERROR(VLOOKUP($D102,'Master Sheet'!$B:$AA,2,FALSE),"")</f>
        <v>JMA710DA</v>
      </c>
      <c r="J102" s="34" t="str">
        <f>IFERROR(VLOOKUP($D102,'Master Sheet'!$B:$AA,5,FALSE),"")</f>
        <v>018208200924</v>
      </c>
      <c r="K102" s="35">
        <f>IFERROR(VLOOKUP($D102,'Master Sheet'!$B:$AA,8,FALSE),"")</f>
        <v>14480.955000000002</v>
      </c>
      <c r="M102" s="9"/>
    </row>
    <row r="103" spans="1:13" x14ac:dyDescent="0.25">
      <c r="A103" s="10"/>
      <c r="B103" s="31"/>
      <c r="C103" s="31"/>
      <c r="D103" s="32" t="s">
        <v>533</v>
      </c>
      <c r="E103" s="33"/>
      <c r="F103" s="2"/>
      <c r="G103" s="17" t="str">
        <f>IFERROR(VLOOKUP($D103,'Master Sheet'!$B:$AA,3,FALSE),"")</f>
        <v>67mm Z-Series Lens Cap</v>
      </c>
      <c r="H103" s="2"/>
      <c r="I103" s="2" t="str">
        <f>IFERROR(VLOOKUP($D103,'Master Sheet'!$B:$AA,2,FALSE),"")</f>
        <v>JMD00701</v>
      </c>
      <c r="J103" s="34" t="str">
        <f>IFERROR(VLOOKUP($D103,'Master Sheet'!$B:$AA,5,FALSE),"")</f>
        <v>018208042302</v>
      </c>
      <c r="K103" s="35">
        <f>IFERROR(VLOOKUP($D103,'Master Sheet'!$B:$AA,8,FALSE),"")</f>
        <v>161.95499999999998</v>
      </c>
      <c r="M103" s="9"/>
    </row>
    <row r="104" spans="1:13" x14ac:dyDescent="0.25">
      <c r="A104" s="10"/>
      <c r="B104" s="31"/>
      <c r="C104" s="31"/>
      <c r="D104" s="32" t="s">
        <v>528</v>
      </c>
      <c r="E104" s="33"/>
      <c r="F104" s="2"/>
      <c r="G104" s="17" t="str">
        <f>IFERROR(VLOOKUP($D104,'Master Sheet'!$B:$AA,3,FALSE),"")</f>
        <v>LF-N1 Rear Lens Cap (Z-Series)</v>
      </c>
      <c r="H104" s="2"/>
      <c r="I104" s="2" t="str">
        <f>IFERROR(VLOOKUP($D104,'Master Sheet'!$B:$AA,2,FALSE),"")</f>
        <v>JMD00101</v>
      </c>
      <c r="J104" s="34" t="str">
        <f>IFERROR(VLOOKUP($D104,'Master Sheet'!$B:$AA,5,FALSE),"")</f>
        <v>018208041824</v>
      </c>
      <c r="K104" s="35">
        <f>IFERROR(VLOOKUP($D104,'Master Sheet'!$B:$AA,8,FALSE),"")</f>
        <v>107.955</v>
      </c>
      <c r="M104" s="9"/>
    </row>
    <row r="105" spans="1:13" x14ac:dyDescent="0.25">
      <c r="A105" s="10"/>
      <c r="B105" s="31"/>
      <c r="C105" s="31"/>
      <c r="D105" s="32" t="s">
        <v>67</v>
      </c>
      <c r="E105" s="33"/>
      <c r="F105" s="2"/>
      <c r="G105" s="17" t="str">
        <f>IFERROR(VLOOKUP($D105,'Master Sheet'!$B:$AA,3,FALSE),"")</f>
        <v>67MM FILTER NC NEUTRAL COLOUR</v>
      </c>
      <c r="H105" s="2"/>
      <c r="I105" s="2" t="str">
        <f>IFERROR(VLOOKUP($D105,'Master Sheet'!$B:$AA,2,FALSE),"")</f>
        <v>FTA13101</v>
      </c>
      <c r="J105" s="34" t="str">
        <f>IFERROR(VLOOKUP($D105,'Master Sheet'!$B:$AA,5,FALSE),"")</f>
        <v>018208022885</v>
      </c>
      <c r="K105" s="35">
        <f>IFERROR(VLOOKUP($D105,'Master Sheet'!$B:$AA,8,FALSE),"")</f>
        <v>863.95500000000004</v>
      </c>
      <c r="M105" s="9"/>
    </row>
    <row r="106" spans="1:13" x14ac:dyDescent="0.25">
      <c r="A106" s="10"/>
      <c r="B106" s="31"/>
      <c r="C106" s="31"/>
      <c r="D106" s="32" t="s">
        <v>68</v>
      </c>
      <c r="E106" s="33"/>
      <c r="F106" s="2"/>
      <c r="G106" s="17" t="str">
        <f>IFERROR(VLOOKUP($D106,'Master Sheet'!$B:$AA,3,FALSE),"")</f>
        <v xml:space="preserve">67MM FILTER C-PL II             </v>
      </c>
      <c r="H106" s="2"/>
      <c r="I106" s="2" t="str">
        <f>IFERROR(VLOOKUP($D106,'Master Sheet'!$B:$AA,2,FALSE),"")</f>
        <v>FTA13201</v>
      </c>
      <c r="J106" s="34" t="str">
        <f>IFERROR(VLOOKUP($D106,'Master Sheet'!$B:$AA,5,FALSE),"")</f>
        <v>018208022557</v>
      </c>
      <c r="K106" s="35">
        <f>IFERROR(VLOOKUP($D106,'Master Sheet'!$B:$AA,8,FALSE),"")</f>
        <v>2798.9549999999999</v>
      </c>
      <c r="M106" s="9"/>
    </row>
    <row r="107" spans="1:13" ht="13.5" thickBot="1" x14ac:dyDescent="0.3">
      <c r="A107" s="10"/>
      <c r="B107" s="31"/>
      <c r="C107" s="31"/>
      <c r="D107" s="32"/>
      <c r="E107" s="33"/>
      <c r="F107" s="2"/>
      <c r="G107" s="17" t="str">
        <f>IFERROR(VLOOKUP($D107,'Master Sheet'!$B:$AA,3,FALSE),"")</f>
        <v/>
      </c>
      <c r="H107" s="2"/>
      <c r="I107" s="2" t="str">
        <f>IFERROR(VLOOKUP($D107,'Master Sheet'!$B:$AA,2,FALSE),"")</f>
        <v/>
      </c>
      <c r="J107" s="34" t="str">
        <f>IFERROR(VLOOKUP($D107,'Master Sheet'!$B:$AA,5,FALSE),"")</f>
        <v/>
      </c>
      <c r="K107" s="35" t="str">
        <f>IFERROR(VLOOKUP($D107,'Master Sheet'!$B:$AA,8,FALSE),"")</f>
        <v/>
      </c>
      <c r="M107" s="9"/>
    </row>
    <row r="108" spans="1:13" ht="13.5" thickBot="1" x14ac:dyDescent="0.3">
      <c r="A108" s="10"/>
      <c r="B108" s="31"/>
      <c r="C108" s="46"/>
      <c r="D108" s="47" t="s">
        <v>502</v>
      </c>
      <c r="E108" s="48"/>
      <c r="F108" s="47"/>
      <c r="G108" s="49" t="str">
        <f>IFERROR(VLOOKUP($D108,'Master Sheet'!$B:$AA,3,FALSE),"")</f>
        <v/>
      </c>
      <c r="H108" s="47"/>
      <c r="I108" s="47" t="s">
        <v>233</v>
      </c>
      <c r="J108" s="61" t="str">
        <f>IFERROR(VLOOKUP($D108,'Master Sheet'!$B:$AA,5,FALSE),"")</f>
        <v/>
      </c>
      <c r="K108" s="62" t="str">
        <f>IFERROR(VLOOKUP($D108,'Master Sheet'!$B:$AA,8,FALSE),"")</f>
        <v/>
      </c>
      <c r="M108" s="9"/>
    </row>
    <row r="109" spans="1:13" x14ac:dyDescent="0.25">
      <c r="A109" s="10"/>
      <c r="B109" s="31"/>
      <c r="C109" s="31"/>
      <c r="D109" s="32" t="s">
        <v>526</v>
      </c>
      <c r="E109" s="33"/>
      <c r="F109" s="2"/>
      <c r="G109" s="17" t="str">
        <f>IFERROR(VLOOKUP($D109,'Master Sheet'!$B:$AA,3,FALSE),"")</f>
        <v>Nikon NIKKOR Z 28-75mm F2.8 S Lens</v>
      </c>
      <c r="H109" s="2"/>
      <c r="I109" s="2" t="str">
        <f>IFERROR(VLOOKUP($D109,'Master Sheet'!$B:$AA,2,FALSE),"")</f>
        <v>JMA717DA</v>
      </c>
      <c r="J109" s="34" t="str">
        <f>IFERROR(VLOOKUP($D109,'Master Sheet'!$B:$AA,5,FALSE),"")</f>
        <v>018208201075</v>
      </c>
      <c r="K109" s="35">
        <f>IFERROR(VLOOKUP($D109,'Master Sheet'!$B:$AA,8,FALSE),"")</f>
        <v>18782.955000000002</v>
      </c>
      <c r="M109" s="9"/>
    </row>
    <row r="110" spans="1:13" x14ac:dyDescent="0.25">
      <c r="A110" s="10"/>
      <c r="B110" s="31"/>
      <c r="C110" s="31"/>
      <c r="D110" s="32" t="s">
        <v>533</v>
      </c>
      <c r="E110" s="33"/>
      <c r="F110" s="2"/>
      <c r="G110" s="17" t="str">
        <f>IFERROR(VLOOKUP($D110,'Master Sheet'!$B:$AA,3,FALSE),"")</f>
        <v>67mm Z-Series Lens Cap</v>
      </c>
      <c r="H110" s="2"/>
      <c r="I110" s="2" t="str">
        <f>IFERROR(VLOOKUP($D110,'Master Sheet'!$B:$AA,2,FALSE),"")</f>
        <v>JMD00701</v>
      </c>
      <c r="J110" s="34" t="str">
        <f>IFERROR(VLOOKUP($D110,'Master Sheet'!$B:$AA,5,FALSE),"")</f>
        <v>018208042302</v>
      </c>
      <c r="K110" s="35">
        <f>IFERROR(VLOOKUP($D110,'Master Sheet'!$B:$AA,8,FALSE),"")</f>
        <v>161.95499999999998</v>
      </c>
      <c r="M110" s="9"/>
    </row>
    <row r="111" spans="1:13" x14ac:dyDescent="0.25">
      <c r="A111" s="10"/>
      <c r="B111" s="31"/>
      <c r="C111" s="31"/>
      <c r="D111" s="32" t="s">
        <v>528</v>
      </c>
      <c r="E111" s="33"/>
      <c r="F111" s="2"/>
      <c r="G111" s="17" t="str">
        <f>IFERROR(VLOOKUP($D111,'Master Sheet'!$B:$AA,3,FALSE),"")</f>
        <v>LF-N1 Rear Lens Cap (Z-Series)</v>
      </c>
      <c r="H111" s="2"/>
      <c r="I111" s="2" t="str">
        <f>IFERROR(VLOOKUP($D111,'Master Sheet'!$B:$AA,2,FALSE),"")</f>
        <v>JMD00101</v>
      </c>
      <c r="J111" s="34" t="str">
        <f>IFERROR(VLOOKUP($D111,'Master Sheet'!$B:$AA,5,FALSE),"")</f>
        <v>018208041824</v>
      </c>
      <c r="K111" s="35">
        <f>IFERROR(VLOOKUP($D111,'Master Sheet'!$B:$AA,8,FALSE),"")</f>
        <v>107.955</v>
      </c>
      <c r="M111" s="9"/>
    </row>
    <row r="112" spans="1:13" x14ac:dyDescent="0.25">
      <c r="A112" s="10"/>
      <c r="B112" s="31"/>
      <c r="C112" s="31"/>
      <c r="D112" s="32" t="s">
        <v>67</v>
      </c>
      <c r="E112" s="33"/>
      <c r="F112" s="2"/>
      <c r="G112" s="17" t="str">
        <f>IFERROR(VLOOKUP($D112,'Master Sheet'!$B:$AA,3,FALSE),"")</f>
        <v>67MM FILTER NC NEUTRAL COLOUR</v>
      </c>
      <c r="H112" s="2"/>
      <c r="I112" s="2" t="str">
        <f>IFERROR(VLOOKUP($D112,'Master Sheet'!$B:$AA,2,FALSE),"")</f>
        <v>FTA13101</v>
      </c>
      <c r="J112" s="34" t="str">
        <f>IFERROR(VLOOKUP($D112,'Master Sheet'!$B:$AA,5,FALSE),"")</f>
        <v>018208022885</v>
      </c>
      <c r="K112" s="35">
        <f>IFERROR(VLOOKUP($D112,'Master Sheet'!$B:$AA,8,FALSE),"")</f>
        <v>863.95500000000004</v>
      </c>
      <c r="M112" s="9"/>
    </row>
    <row r="113" spans="1:13" x14ac:dyDescent="0.25">
      <c r="A113" s="10"/>
      <c r="B113" s="31"/>
      <c r="C113" s="31"/>
      <c r="D113" s="32" t="s">
        <v>68</v>
      </c>
      <c r="E113" s="33"/>
      <c r="F113" s="2"/>
      <c r="G113" s="17" t="str">
        <f>IFERROR(VLOOKUP($D113,'Master Sheet'!$B:$AA,3,FALSE),"")</f>
        <v xml:space="preserve">67MM FILTER C-PL II             </v>
      </c>
      <c r="H113" s="2"/>
      <c r="I113" s="2" t="str">
        <f>IFERROR(VLOOKUP($D113,'Master Sheet'!$B:$AA,2,FALSE),"")</f>
        <v>FTA13201</v>
      </c>
      <c r="J113" s="34" t="str">
        <f>IFERROR(VLOOKUP($D113,'Master Sheet'!$B:$AA,5,FALSE),"")</f>
        <v>018208022557</v>
      </c>
      <c r="K113" s="35">
        <f>IFERROR(VLOOKUP($D113,'Master Sheet'!$B:$AA,8,FALSE),"")</f>
        <v>2798.9549999999999</v>
      </c>
      <c r="M113" s="9"/>
    </row>
    <row r="114" spans="1:13" x14ac:dyDescent="0.25">
      <c r="A114" s="10"/>
      <c r="B114" s="31"/>
      <c r="C114" s="31"/>
      <c r="D114" s="32"/>
      <c r="E114" s="33"/>
      <c r="F114" s="2"/>
      <c r="G114" s="17" t="str">
        <f>IFERROR(VLOOKUP($D114,'Master Sheet'!$B:$AA,3,FALSE),"")</f>
        <v/>
      </c>
      <c r="H114" s="2"/>
      <c r="I114" s="2" t="str">
        <f>IFERROR(VLOOKUP($D114,'Master Sheet'!$B:$AA,2,FALSE),"")</f>
        <v/>
      </c>
      <c r="J114" s="34" t="str">
        <f>IFERROR(VLOOKUP($D114,'Master Sheet'!$B:$AA,5,FALSE),"")</f>
        <v/>
      </c>
      <c r="K114" s="35" t="str">
        <f>IFERROR(VLOOKUP($D114,'Master Sheet'!$B:$AA,8,FALSE),"")</f>
        <v/>
      </c>
      <c r="M114" s="9"/>
    </row>
    <row r="115" spans="1:13" x14ac:dyDescent="0.25">
      <c r="A115" s="10"/>
      <c r="B115" s="31"/>
      <c r="C115" s="31"/>
      <c r="D115" s="32"/>
      <c r="E115" s="33"/>
      <c r="F115" s="2"/>
      <c r="G115" s="17" t="str">
        <f>IFERROR(VLOOKUP($D115,'Master Sheet'!$B:$AA,3,FALSE),"")</f>
        <v/>
      </c>
      <c r="H115" s="2"/>
      <c r="I115" s="2" t="str">
        <f>IFERROR(VLOOKUP($D115,'Master Sheet'!$B:$AA,2,FALSE),"")</f>
        <v/>
      </c>
      <c r="J115" s="34" t="str">
        <f>IFERROR(VLOOKUP($D115,'Master Sheet'!$B:$AA,5,FALSE),"")</f>
        <v/>
      </c>
      <c r="K115" s="35" t="str">
        <f>IFERROR(VLOOKUP($D115,'Master Sheet'!$B:$AA,8,FALSE),"")</f>
        <v/>
      </c>
      <c r="M115" s="9"/>
    </row>
    <row r="116" spans="1:13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</sheetData>
  <mergeCells count="2">
    <mergeCell ref="G16:K16"/>
    <mergeCell ref="G69:K69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D45E-82C7-411A-BE66-3CC525240CA8}">
  <sheetPr>
    <pageSetUpPr fitToPage="1"/>
  </sheetPr>
  <dimension ref="A1:M108"/>
  <sheetViews>
    <sheetView showGridLines="0" showRowColHeaders="0" topLeftCell="A74" zoomScale="85" zoomScaleNormal="85" workbookViewId="0">
      <selection activeCell="K63" sqref="K63"/>
    </sheetView>
  </sheetViews>
  <sheetFormatPr defaultColWidth="8.85546875" defaultRowHeight="12.75" x14ac:dyDescent="0.25"/>
  <cols>
    <col min="1" max="3" width="3.42578125" style="5" customWidth="1"/>
    <col min="4" max="4" width="16.85546875" style="2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11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32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31"/>
      <c r="D3" s="32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32"/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31"/>
      <c r="D5" s="32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32"/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31"/>
      <c r="D7" s="32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1"/>
      <c r="D8" s="32"/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32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31"/>
      <c r="D10" s="32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31"/>
      <c r="D11" s="32"/>
      <c r="E11" s="36"/>
      <c r="F11" s="8"/>
      <c r="G11" s="22"/>
      <c r="H11" s="8"/>
      <c r="J11" s="34"/>
      <c r="K11" s="35"/>
      <c r="M11" s="9"/>
    </row>
    <row r="12" spans="1:13" x14ac:dyDescent="0.25">
      <c r="A12" s="10"/>
      <c r="B12" s="31"/>
      <c r="C12" s="31"/>
      <c r="D12" s="32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31"/>
      <c r="D13" s="32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32"/>
      <c r="E14" s="36"/>
      <c r="F14" s="8"/>
      <c r="G14" s="22"/>
      <c r="H14" s="8"/>
      <c r="J14" s="34"/>
      <c r="K14" s="35"/>
      <c r="M14" s="9"/>
    </row>
    <row r="15" spans="1:13" ht="13.5" thickBot="1" x14ac:dyDescent="0.3">
      <c r="A15" s="10"/>
      <c r="B15" s="31"/>
      <c r="C15" s="31"/>
      <c r="D15" s="32"/>
      <c r="E15" s="36"/>
      <c r="F15" s="8"/>
      <c r="G15" s="22"/>
      <c r="H15" s="8"/>
      <c r="J15" s="34"/>
      <c r="K15" s="35"/>
      <c r="M15" s="9"/>
    </row>
    <row r="16" spans="1:13" ht="13.5" thickBot="1" x14ac:dyDescent="0.3">
      <c r="A16" s="10"/>
      <c r="B16" s="31"/>
      <c r="C16" s="31"/>
      <c r="D16" s="32"/>
      <c r="E16" s="36"/>
      <c r="F16" s="8"/>
      <c r="G16" s="96" t="s">
        <v>228</v>
      </c>
      <c r="H16" s="97"/>
      <c r="I16" s="97"/>
      <c r="J16" s="97"/>
      <c r="K16" s="98"/>
      <c r="M16" s="9"/>
    </row>
    <row r="17" spans="1:13" ht="13.5" thickBot="1" x14ac:dyDescent="0.3">
      <c r="A17" s="10"/>
      <c r="B17" s="31"/>
      <c r="C17" s="31"/>
      <c r="D17" s="38"/>
      <c r="E17" s="36"/>
      <c r="F17" s="8"/>
      <c r="G17" s="22"/>
      <c r="H17" s="8"/>
      <c r="J17" s="34"/>
      <c r="K17" s="35"/>
      <c r="M17" s="9"/>
    </row>
    <row r="18" spans="1:13" ht="13.5" thickBot="1" x14ac:dyDescent="0.3">
      <c r="A18" s="10"/>
      <c r="B18" s="31"/>
      <c r="C18" s="39" t="s">
        <v>48</v>
      </c>
      <c r="D18" s="40"/>
      <c r="E18" s="40"/>
      <c r="F18" s="55"/>
      <c r="G18" s="41" t="s">
        <v>643</v>
      </c>
      <c r="H18" s="55"/>
      <c r="I18" s="42" t="s">
        <v>52</v>
      </c>
      <c r="J18" s="43" t="s">
        <v>47</v>
      </c>
      <c r="K18" s="56" t="s">
        <v>943</v>
      </c>
      <c r="M18" s="9"/>
    </row>
    <row r="19" spans="1:13" ht="13.5" thickBot="1" x14ac:dyDescent="0.3">
      <c r="A19" s="10"/>
      <c r="B19" s="31"/>
      <c r="C19" s="31"/>
      <c r="D19" s="32"/>
      <c r="E19" s="33"/>
      <c r="F19" s="2"/>
      <c r="H19" s="2"/>
      <c r="J19" s="34"/>
      <c r="K19" s="35"/>
      <c r="M19" s="9"/>
    </row>
    <row r="20" spans="1:13" ht="13.5" thickBot="1" x14ac:dyDescent="0.3">
      <c r="A20" s="10"/>
      <c r="B20" s="31"/>
      <c r="C20" s="46"/>
      <c r="D20" s="47" t="s">
        <v>431</v>
      </c>
      <c r="E20" s="48"/>
      <c r="F20" s="47"/>
      <c r="G20" s="49"/>
      <c r="H20" s="47"/>
      <c r="I20" s="47" t="s">
        <v>432</v>
      </c>
      <c r="J20" s="61"/>
      <c r="K20" s="62"/>
      <c r="M20" s="9"/>
    </row>
    <row r="21" spans="1:13" x14ac:dyDescent="0.25">
      <c r="A21" s="10"/>
      <c r="B21" s="31"/>
      <c r="C21" s="31"/>
      <c r="D21" s="32" t="s">
        <v>422</v>
      </c>
      <c r="E21" s="33"/>
      <c r="F21" s="2"/>
      <c r="G21" s="17" t="str">
        <f>IFERROR(VLOOKUP($D21,'Master Sheet'!$B:$AA,3,FALSE),"")</f>
        <v>Nikon NIKKOR Z MC 105mm f/2.8 VR S Macro Lens</v>
      </c>
      <c r="H21" s="2"/>
      <c r="I21" s="2" t="str">
        <f>IFERROR(VLOOKUP($D21,'Master Sheet'!$B:$AA,2,FALSE),"")</f>
        <v>JMA602DA</v>
      </c>
      <c r="J21" s="34" t="str">
        <f>IFERROR(VLOOKUP($D21,'Master Sheet'!$B:$AA,5,FALSE),"")</f>
        <v>018208201006</v>
      </c>
      <c r="K21" s="35">
        <f>IFERROR(VLOOKUP($D21,'Master Sheet'!$B:$AA,8,FALSE),"")</f>
        <v>18782.955000000002</v>
      </c>
      <c r="M21" s="9"/>
    </row>
    <row r="22" spans="1:13" x14ac:dyDescent="0.25">
      <c r="A22" s="10"/>
      <c r="B22" s="31"/>
      <c r="C22" s="31"/>
      <c r="D22" s="32" t="s">
        <v>529</v>
      </c>
      <c r="E22" s="33"/>
      <c r="F22" s="2"/>
      <c r="G22" s="17" t="str">
        <f>IFERROR(VLOOKUP($D22,'Master Sheet'!$B:$AA,3,FALSE),"")</f>
        <v>62mm Z-Series Lens Cap</v>
      </c>
      <c r="H22" s="2"/>
      <c r="I22" s="2" t="str">
        <f>IFERROR(VLOOKUP($D22,'Master Sheet'!$B:$AA,2,FALSE),"")</f>
        <v>JMD00201</v>
      </c>
      <c r="J22" s="34" t="str">
        <f>IFERROR(VLOOKUP($D22,'Master Sheet'!$B:$AA,5,FALSE),"")</f>
        <v>4960759149893</v>
      </c>
      <c r="K22" s="35">
        <f>IFERROR(VLOOKUP($D22,'Master Sheet'!$B:$AA,8,FALSE),"")</f>
        <v>170.95499999999998</v>
      </c>
      <c r="M22" s="9"/>
    </row>
    <row r="23" spans="1:13" x14ac:dyDescent="0.25">
      <c r="A23" s="10"/>
      <c r="B23" s="31"/>
      <c r="C23" s="31"/>
      <c r="D23" s="32" t="s">
        <v>528</v>
      </c>
      <c r="E23" s="33"/>
      <c r="F23" s="2"/>
      <c r="G23" s="17" t="str">
        <f>IFERROR(VLOOKUP($D23,'Master Sheet'!$B:$AA,3,FALSE),"")</f>
        <v>LF-N1 Rear Lens Cap (Z-Series)</v>
      </c>
      <c r="H23" s="2"/>
      <c r="I23" s="2" t="str">
        <f>IFERROR(VLOOKUP($D23,'Master Sheet'!$B:$AA,2,FALSE),"")</f>
        <v>JMD00101</v>
      </c>
      <c r="J23" s="34" t="str">
        <f>IFERROR(VLOOKUP($D23,'Master Sheet'!$B:$AA,5,FALSE),"")</f>
        <v>018208041824</v>
      </c>
      <c r="K23" s="35">
        <f>IFERROR(VLOOKUP($D23,'Master Sheet'!$B:$AA,8,FALSE),"")</f>
        <v>107.955</v>
      </c>
      <c r="M23" s="9"/>
    </row>
    <row r="24" spans="1:13" x14ac:dyDescent="0.25">
      <c r="A24" s="10"/>
      <c r="B24" s="31"/>
      <c r="C24" s="31"/>
      <c r="D24" s="32" t="s">
        <v>69</v>
      </c>
      <c r="E24" s="33"/>
      <c r="F24" s="2"/>
      <c r="G24" s="17" t="str">
        <f>IFERROR(VLOOKUP($D24,'Master Sheet'!$B:$AA,3,FALSE),"")</f>
        <v>62MM FILTER NC NEUTRAL COLOUR</v>
      </c>
      <c r="H24" s="2"/>
      <c r="I24" s="2" t="str">
        <f>IFERROR(VLOOKUP($D24,'Master Sheet'!$B:$AA,2,FALSE),"")</f>
        <v>FTA11401</v>
      </c>
      <c r="J24" s="34" t="str">
        <f>IFERROR(VLOOKUP($D24,'Master Sheet'!$B:$AA,5,FALSE),"")</f>
        <v>018208024803</v>
      </c>
      <c r="K24" s="35">
        <f>IFERROR(VLOOKUP($D24,'Master Sheet'!$B:$AA,8,FALSE),"")</f>
        <v>710.95500000000004</v>
      </c>
      <c r="M24" s="9"/>
    </row>
    <row r="25" spans="1:13" x14ac:dyDescent="0.25">
      <c r="A25" s="10"/>
      <c r="B25" s="31"/>
      <c r="C25" s="31"/>
      <c r="D25" s="32" t="s">
        <v>70</v>
      </c>
      <c r="E25" s="33"/>
      <c r="F25" s="2"/>
      <c r="G25" s="17" t="str">
        <f>IFERROR(VLOOKUP($D25,'Master Sheet'!$B:$AA,3,FALSE),"")</f>
        <v xml:space="preserve">62MM C-PL II FILTER                  </v>
      </c>
      <c r="H25" s="2"/>
      <c r="I25" s="2" t="str">
        <f>IFERROR(VLOOKUP($D25,'Master Sheet'!$B:$AA,2,FALSE),"")</f>
        <v>FTA11501</v>
      </c>
      <c r="J25" s="34" t="str">
        <f>IFERROR(VLOOKUP($D25,'Master Sheet'!$B:$AA,5,FALSE),"")</f>
        <v>018208022526</v>
      </c>
      <c r="K25" s="35">
        <f>IFERROR(VLOOKUP($D25,'Master Sheet'!$B:$AA,8,FALSE),"")</f>
        <v>2447.9549999999999</v>
      </c>
      <c r="M25" s="9"/>
    </row>
    <row r="26" spans="1:13" ht="13.5" thickBot="1" x14ac:dyDescent="0.3">
      <c r="A26" s="10"/>
      <c r="B26" s="31"/>
      <c r="C26" s="31"/>
      <c r="D26" s="32"/>
      <c r="E26" s="33"/>
      <c r="F26" s="2"/>
      <c r="G26" s="17" t="str">
        <f>IFERROR(VLOOKUP($D26,'Master Sheet'!$B:$AA,3,FALSE),"")</f>
        <v/>
      </c>
      <c r="H26" s="2"/>
      <c r="I26" s="2" t="str">
        <f>IFERROR(VLOOKUP($D26,'Master Sheet'!$B:$AA,2,FALSE),"")</f>
        <v/>
      </c>
      <c r="J26" s="34" t="str">
        <f>IFERROR(VLOOKUP($D26,'Master Sheet'!$B:$AA,5,FALSE),"")</f>
        <v/>
      </c>
      <c r="K26" s="35" t="str">
        <f>IFERROR(VLOOKUP($D26,'Master Sheet'!$B:$AA,8,FALSE),"")</f>
        <v/>
      </c>
      <c r="M26" s="9"/>
    </row>
    <row r="27" spans="1:13" ht="13.5" thickBot="1" x14ac:dyDescent="0.3">
      <c r="A27" s="10"/>
      <c r="B27" s="31"/>
      <c r="C27" s="46"/>
      <c r="D27" s="47" t="s">
        <v>823</v>
      </c>
      <c r="E27" s="48"/>
      <c r="F27" s="47"/>
      <c r="G27" s="49"/>
      <c r="H27" s="47"/>
      <c r="I27" s="47" t="s">
        <v>824</v>
      </c>
      <c r="J27" s="61"/>
      <c r="K27" s="62"/>
      <c r="M27" s="9"/>
    </row>
    <row r="28" spans="1:13" x14ac:dyDescent="0.25">
      <c r="A28" s="10"/>
      <c r="B28" s="31"/>
      <c r="C28" s="31"/>
      <c r="D28" s="32" t="s">
        <v>822</v>
      </c>
      <c r="E28" s="33"/>
      <c r="F28" s="2"/>
      <c r="G28" s="17" t="str">
        <f>IFERROR(VLOOKUP($D28,'Master Sheet'!$B:$AA,3,FALSE),"")</f>
        <v>Nikon NIKKOR Z 135mm f/1.8 S Plena Lens</v>
      </c>
      <c r="H28" s="2"/>
      <c r="I28" s="2" t="str">
        <f>IFERROR(VLOOKUP($D28,'Master Sheet'!$B:$AA,2,FALSE),"")</f>
        <v>JMA303DA</v>
      </c>
      <c r="J28" s="34" t="str">
        <f>IFERROR(VLOOKUP($D28,'Master Sheet'!$B:$AA,5,FALSE),"")</f>
        <v>018208201235</v>
      </c>
      <c r="K28" s="35">
        <f>IFERROR(VLOOKUP($D28,'Master Sheet'!$B:$AA,8,FALSE),"")</f>
        <v>46961.955000000002</v>
      </c>
      <c r="M28" s="9"/>
    </row>
    <row r="29" spans="1:13" x14ac:dyDescent="0.25">
      <c r="A29" s="10"/>
      <c r="B29" s="31"/>
      <c r="C29" s="31"/>
      <c r="D29" s="32" t="s">
        <v>530</v>
      </c>
      <c r="E29" s="33"/>
      <c r="F29" s="2"/>
      <c r="G29" s="17" t="str">
        <f>IFERROR(VLOOKUP($D29,'Master Sheet'!$B:$AA,3,FALSE),"")</f>
        <v>82mm Z-Series Lens Cap</v>
      </c>
      <c r="H29" s="2"/>
      <c r="I29" s="2" t="str">
        <f>IFERROR(VLOOKUP($D29,'Master Sheet'!$B:$AA,2,FALSE),"")</f>
        <v>JMD00401</v>
      </c>
      <c r="J29" s="34" t="str">
        <f>IFERROR(VLOOKUP($D29,'Master Sheet'!$B:$AA,5,FALSE),"")</f>
        <v>4960759149916</v>
      </c>
      <c r="K29" s="35">
        <f>IFERROR(VLOOKUP($D29,'Master Sheet'!$B:$AA,8,FALSE),"")</f>
        <v>278.95499999999998</v>
      </c>
      <c r="M29" s="9"/>
    </row>
    <row r="30" spans="1:13" x14ac:dyDescent="0.25">
      <c r="A30" s="10"/>
      <c r="B30" s="31"/>
      <c r="C30" s="31"/>
      <c r="D30" s="32" t="s">
        <v>528</v>
      </c>
      <c r="E30" s="33"/>
      <c r="F30" s="2"/>
      <c r="G30" s="17" t="str">
        <f>IFERROR(VLOOKUP($D30,'Master Sheet'!$B:$AA,3,FALSE),"")</f>
        <v>LF-N1 Rear Lens Cap (Z-Series)</v>
      </c>
      <c r="H30" s="2"/>
      <c r="I30" s="2" t="str">
        <f>IFERROR(VLOOKUP($D30,'Master Sheet'!$B:$AA,2,FALSE),"")</f>
        <v>JMD00101</v>
      </c>
      <c r="J30" s="34" t="str">
        <f>IFERROR(VLOOKUP($D30,'Master Sheet'!$B:$AA,5,FALSE),"")</f>
        <v>018208041824</v>
      </c>
      <c r="K30" s="35">
        <f>IFERROR(VLOOKUP($D30,'Master Sheet'!$B:$AA,8,FALSE),"")</f>
        <v>107.955</v>
      </c>
      <c r="M30" s="9"/>
    </row>
    <row r="31" spans="1:13" x14ac:dyDescent="0.25">
      <c r="A31" s="10"/>
      <c r="B31" s="31"/>
      <c r="C31" s="31"/>
      <c r="D31" s="32" t="s">
        <v>73</v>
      </c>
      <c r="E31" s="33"/>
      <c r="F31" s="2"/>
      <c r="G31" s="17" t="str">
        <f>IFERROR(VLOOKUP($D31,'Master Sheet'!$B:$AA,3,FALSE),"")</f>
        <v xml:space="preserve">82MM FILTER NC NEUTRAL COLOUR </v>
      </c>
      <c r="H31" s="2"/>
      <c r="I31" s="2" t="str">
        <f>IFERROR(VLOOKUP($D31,'Master Sheet'!$B:$AA,2,FALSE),"")</f>
        <v>FTA70401</v>
      </c>
      <c r="J31" s="34" t="str">
        <f>IFERROR(VLOOKUP($D31,'Master Sheet'!$B:$AA,5,FALSE),"")</f>
        <v>018208024971</v>
      </c>
      <c r="K31" s="35">
        <f>IFERROR(VLOOKUP($D31,'Master Sheet'!$B:$AA,8,FALSE),"")</f>
        <v>1826.9550000000002</v>
      </c>
      <c r="M31" s="9"/>
    </row>
    <row r="32" spans="1:13" x14ac:dyDescent="0.25">
      <c r="A32" s="10"/>
      <c r="B32" s="31"/>
      <c r="C32" s="31"/>
      <c r="D32" s="32" t="s">
        <v>74</v>
      </c>
      <c r="E32" s="33"/>
      <c r="F32" s="2"/>
      <c r="G32" s="17" t="str">
        <f>IFERROR(VLOOKUP($D32,'Master Sheet'!$B:$AA,3,FALSE),"")</f>
        <v xml:space="preserve">82MM FILTER C-PL II </v>
      </c>
      <c r="H32" s="2"/>
      <c r="I32" s="2" t="str">
        <f>IFERROR(VLOOKUP($D32,'Master Sheet'!$B:$AA,2,FALSE),"")</f>
        <v>FTA70501</v>
      </c>
      <c r="J32" s="34" t="str">
        <f>IFERROR(VLOOKUP($D32,'Master Sheet'!$B:$AA,5,FALSE),"")</f>
        <v>018208024988</v>
      </c>
      <c r="K32" s="35">
        <f>IFERROR(VLOOKUP($D32,'Master Sheet'!$B:$AA,8,FALSE),"")</f>
        <v>3680.9549999999999</v>
      </c>
      <c r="M32" s="9"/>
    </row>
    <row r="33" spans="1:13" ht="13.5" thickBot="1" x14ac:dyDescent="0.3">
      <c r="A33" s="10"/>
      <c r="B33" s="31"/>
      <c r="C33" s="31"/>
      <c r="D33" s="32"/>
      <c r="E33" s="33"/>
      <c r="F33" s="2"/>
      <c r="G33" s="17" t="str">
        <f>IFERROR(VLOOKUP($D33,'Master Sheet'!$B:$AA,3,FALSE),"")</f>
        <v/>
      </c>
      <c r="H33" s="2"/>
      <c r="I33" s="2" t="str">
        <f>IFERROR(VLOOKUP($D33,'Master Sheet'!$B:$AA,2,FALSE),"")</f>
        <v/>
      </c>
      <c r="J33" s="34" t="str">
        <f>IFERROR(VLOOKUP($D33,'Master Sheet'!$B:$AA,5,FALSE),"")</f>
        <v/>
      </c>
      <c r="K33" s="35" t="str">
        <f>IFERROR(VLOOKUP($D33,'Master Sheet'!$B:$AA,8,FALSE),"")</f>
        <v/>
      </c>
      <c r="M33" s="9"/>
    </row>
    <row r="34" spans="1:13" ht="13.5" thickBot="1" x14ac:dyDescent="0.3">
      <c r="A34" s="10"/>
      <c r="B34" s="31"/>
      <c r="C34" s="46"/>
      <c r="D34" s="47" t="s">
        <v>507</v>
      </c>
      <c r="E34" s="48"/>
      <c r="F34" s="47"/>
      <c r="G34" s="49" t="str">
        <f>IFERROR(VLOOKUP($D34,'Master Sheet'!$B:$AA,3,FALSE),"")</f>
        <v/>
      </c>
      <c r="H34" s="47"/>
      <c r="I34" s="47" t="str">
        <f>IFERROR(VLOOKUP($D34,'Master Sheet'!$B:$AA,2,FALSE),"")</f>
        <v/>
      </c>
      <c r="J34" s="61" t="str">
        <f>IFERROR(VLOOKUP($D34,'Master Sheet'!$B:$AA,5,FALSE),"")</f>
        <v/>
      </c>
      <c r="K34" s="62" t="str">
        <f>IFERROR(VLOOKUP($D34,'Master Sheet'!$B:$AA,8,FALSE),"")</f>
        <v/>
      </c>
      <c r="M34" s="9"/>
    </row>
    <row r="35" spans="1:13" x14ac:dyDescent="0.25">
      <c r="A35" s="10"/>
      <c r="B35" s="31"/>
      <c r="C35" s="31"/>
      <c r="D35" s="32" t="s">
        <v>508</v>
      </c>
      <c r="E35" s="33"/>
      <c r="F35" s="2"/>
      <c r="G35" s="17" t="str">
        <f>IFERROR(VLOOKUP($D35,'Master Sheet'!$B:$AA,3,FALSE),"")</f>
        <v>Nikon NIKKOR Z 400mm f/2.8 VR S Lens</v>
      </c>
      <c r="H35" s="2"/>
      <c r="I35" s="2" t="str">
        <f>IFERROR(VLOOKUP($D35,'Master Sheet'!$B:$AA,2,FALSE),"")</f>
        <v>JMA501DA</v>
      </c>
      <c r="J35" s="34" t="str">
        <f>IFERROR(VLOOKUP($D35,'Master Sheet'!$B:$AA,5,FALSE),"")</f>
        <v>018208201112</v>
      </c>
      <c r="K35" s="35">
        <f>IFERROR(VLOOKUP($D35,'Master Sheet'!$B:$AA,8,FALSE),"")</f>
        <v>254348.95500000002</v>
      </c>
      <c r="M35" s="9"/>
    </row>
    <row r="36" spans="1:13" x14ac:dyDescent="0.25">
      <c r="A36" s="10"/>
      <c r="B36" s="31"/>
      <c r="C36" s="31"/>
      <c r="D36" s="32" t="s">
        <v>528</v>
      </c>
      <c r="E36" s="33"/>
      <c r="F36" s="2"/>
      <c r="G36" s="17" t="str">
        <f>IFERROR(VLOOKUP($D36,'Master Sheet'!$B:$AA,3,FALSE),"")</f>
        <v>LF-N1 Rear Lens Cap (Z-Series)</v>
      </c>
      <c r="H36" s="2"/>
      <c r="I36" s="2" t="str">
        <f>IFERROR(VLOOKUP($D36,'Master Sheet'!$B:$AA,2,FALSE),"")</f>
        <v>JMD00101</v>
      </c>
      <c r="J36" s="34" t="str">
        <f>IFERROR(VLOOKUP($D36,'Master Sheet'!$B:$AA,5,FALSE),"")</f>
        <v>018208041824</v>
      </c>
      <c r="K36" s="35">
        <f>IFERROR(VLOOKUP($D36,'Master Sheet'!$B:$AA,8,FALSE),"")</f>
        <v>107.955</v>
      </c>
      <c r="M36" s="9"/>
    </row>
    <row r="37" spans="1:13" ht="13.5" thickBot="1" x14ac:dyDescent="0.3">
      <c r="A37" s="10"/>
      <c r="B37" s="31"/>
      <c r="C37" s="31"/>
      <c r="D37" s="32"/>
      <c r="E37" s="33"/>
      <c r="F37" s="2"/>
      <c r="G37" s="17" t="str">
        <f>IFERROR(VLOOKUP($D37,'Master Sheet'!$B:$AA,3,FALSE),"")</f>
        <v/>
      </c>
      <c r="H37" s="2"/>
      <c r="I37" s="2" t="str">
        <f>IFERROR(VLOOKUP($D37,'Master Sheet'!$B:$AA,2,FALSE),"")</f>
        <v/>
      </c>
      <c r="J37" s="34" t="str">
        <f>IFERROR(VLOOKUP($D37,'Master Sheet'!$B:$AA,5,FALSE),"")</f>
        <v/>
      </c>
      <c r="K37" s="35" t="str">
        <f>IFERROR(VLOOKUP($D37,'Master Sheet'!$B:$AA,8,FALSE),"")</f>
        <v/>
      </c>
      <c r="M37" s="9"/>
    </row>
    <row r="38" spans="1:13" ht="13.5" thickBot="1" x14ac:dyDescent="0.3">
      <c r="A38" s="10"/>
      <c r="B38" s="31"/>
      <c r="C38" s="46"/>
      <c r="D38" s="47" t="s">
        <v>586</v>
      </c>
      <c r="E38" s="48"/>
      <c r="F38" s="47"/>
      <c r="G38" s="49" t="str">
        <f>IFERROR(VLOOKUP($D38,'Master Sheet'!$B:$AA,3,FALSE),"")</f>
        <v/>
      </c>
      <c r="H38" s="47"/>
      <c r="I38" s="47" t="s">
        <v>592</v>
      </c>
      <c r="J38" s="61"/>
      <c r="K38" s="62" t="str">
        <f>IFERROR(VLOOKUP($D38,'Master Sheet'!$B:$AA,8,FALSE),"")</f>
        <v/>
      </c>
      <c r="M38" s="9"/>
    </row>
    <row r="39" spans="1:13" x14ac:dyDescent="0.25">
      <c r="A39" s="10"/>
      <c r="B39" s="31"/>
      <c r="C39" s="31"/>
      <c r="D39" s="32" t="s">
        <v>587</v>
      </c>
      <c r="E39" s="33"/>
      <c r="F39" s="2"/>
      <c r="G39" s="17" t="str">
        <f>IFERROR(VLOOKUP($D39,'Master Sheet'!$B:$AA,3,FALSE),"")</f>
        <v>Nikon NIKKOR Z 400mm f/4.5 VR S Lens</v>
      </c>
      <c r="H39" s="2"/>
      <c r="I39" s="2" t="str">
        <f>IFERROR(VLOOKUP($D39,'Master Sheet'!$B:$AA,2,FALSE),"")</f>
        <v>JMA503DA</v>
      </c>
      <c r="J39" s="34" t="str">
        <f>IFERROR(VLOOKUP($D39,'Master Sheet'!$B:$AA,5,FALSE),"")</f>
        <v>018208201129</v>
      </c>
      <c r="K39" s="35">
        <f>IFERROR(VLOOKUP($D39,'Master Sheet'!$B:$AA,8,FALSE),"")</f>
        <v>59480.955000000002</v>
      </c>
      <c r="M39" s="9"/>
    </row>
    <row r="40" spans="1:13" x14ac:dyDescent="0.25">
      <c r="A40" s="10"/>
      <c r="B40" s="31"/>
      <c r="C40" s="31"/>
      <c r="D40" s="32" t="s">
        <v>588</v>
      </c>
      <c r="E40" s="33"/>
      <c r="F40" s="2"/>
      <c r="G40" s="17" t="str">
        <f>IFERROR(VLOOKUP($D40,'Master Sheet'!$B:$AA,3,FALSE),"")</f>
        <v>95mm Z-Series Lens Cap</v>
      </c>
      <c r="H40" s="2"/>
      <c r="I40" s="2" t="str">
        <f>IFERROR(VLOOKUP($D40,'Master Sheet'!$B:$AA,2,FALSE),"")</f>
        <v>JMD01601</v>
      </c>
      <c r="J40" s="34" t="str">
        <f>IFERROR(VLOOKUP($D40,'Master Sheet'!$B:$AA,5,FALSE),"")</f>
        <v>018208042715</v>
      </c>
      <c r="K40" s="35">
        <f>IFERROR(VLOOKUP($D40,'Master Sheet'!$B:$AA,8,FALSE),"")</f>
        <v>359.95499999999998</v>
      </c>
      <c r="M40" s="9"/>
    </row>
    <row r="41" spans="1:13" x14ac:dyDescent="0.25">
      <c r="A41" s="10"/>
      <c r="B41" s="31"/>
      <c r="C41" s="31"/>
      <c r="D41" s="32" t="s">
        <v>528</v>
      </c>
      <c r="E41" s="33"/>
      <c r="F41" s="2"/>
      <c r="G41" s="17" t="str">
        <f>IFERROR(VLOOKUP($D41,'Master Sheet'!$B:$AA,3,FALSE),"")</f>
        <v>LF-N1 Rear Lens Cap (Z-Series)</v>
      </c>
      <c r="H41" s="2"/>
      <c r="I41" s="2" t="str">
        <f>IFERROR(VLOOKUP($D41,'Master Sheet'!$B:$AA,2,FALSE),"")</f>
        <v>JMD00101</v>
      </c>
      <c r="J41" s="34" t="str">
        <f>IFERROR(VLOOKUP($D41,'Master Sheet'!$B:$AA,5,FALSE),"")</f>
        <v>018208041824</v>
      </c>
      <c r="K41" s="35">
        <f>IFERROR(VLOOKUP($D41,'Master Sheet'!$B:$AA,8,FALSE),"")</f>
        <v>107.955</v>
      </c>
      <c r="M41" s="9"/>
    </row>
    <row r="42" spans="1:13" x14ac:dyDescent="0.25">
      <c r="A42" s="10"/>
      <c r="B42" s="31"/>
      <c r="C42" s="31"/>
      <c r="D42" s="32" t="s">
        <v>87</v>
      </c>
      <c r="E42" s="33"/>
      <c r="F42" s="2"/>
      <c r="G42" s="17" t="str">
        <f>IFERROR(VLOOKUP($D42,'Master Sheet'!$B:$AA,3,FALSE),"")</f>
        <v xml:space="preserve">95MM FILTER NC NEUTRAL COLOUR </v>
      </c>
      <c r="H42" s="2"/>
      <c r="I42" s="2" t="str">
        <f>IFERROR(VLOOKUP($D42,'Master Sheet'!$B:$AA,2,FALSE),"")</f>
        <v>FTA70601</v>
      </c>
      <c r="J42" s="34" t="str">
        <f>IFERROR(VLOOKUP($D42,'Master Sheet'!$B:$AA,5,FALSE),"")</f>
        <v>018208025084</v>
      </c>
      <c r="K42" s="35">
        <f>IFERROR(VLOOKUP($D42,'Master Sheet'!$B:$AA,8,FALSE),"")</f>
        <v>3176.9549999999999</v>
      </c>
      <c r="M42" s="9"/>
    </row>
    <row r="43" spans="1:13" x14ac:dyDescent="0.25">
      <c r="A43" s="10"/>
      <c r="B43" s="31"/>
      <c r="C43" s="31"/>
      <c r="D43" s="32" t="s">
        <v>80</v>
      </c>
      <c r="E43" s="33"/>
      <c r="F43" s="2"/>
      <c r="G43" s="17" t="str">
        <f>IFERROR(VLOOKUP($D43,'Master Sheet'!$B:$AA,3,FALSE),"")</f>
        <v xml:space="preserve">95MM FILTER C-PL II             </v>
      </c>
      <c r="H43" s="2"/>
      <c r="I43" s="2" t="str">
        <f>IFERROR(VLOOKUP($D43,'Master Sheet'!$B:$AA,2,FALSE),"")</f>
        <v>FTA70701</v>
      </c>
      <c r="J43" s="34" t="str">
        <f>IFERROR(VLOOKUP($D43,'Master Sheet'!$B:$AA,5,FALSE),"")</f>
        <v>018208025091</v>
      </c>
      <c r="K43" s="35">
        <f>IFERROR(VLOOKUP($D43,'Master Sheet'!$B:$AA,8,FALSE),"")</f>
        <v>8477.9550000000017</v>
      </c>
      <c r="M43" s="9"/>
    </row>
    <row r="44" spans="1:13" ht="13.5" thickBot="1" x14ac:dyDescent="0.3">
      <c r="A44" s="10"/>
      <c r="B44" s="31"/>
      <c r="C44" s="31"/>
      <c r="D44" s="32"/>
      <c r="E44" s="33"/>
      <c r="F44" s="2"/>
      <c r="G44" s="17" t="str">
        <f>IFERROR(VLOOKUP($D44,'Master Sheet'!$B:$AA,3,FALSE),"")</f>
        <v/>
      </c>
      <c r="H44" s="2"/>
      <c r="I44" s="2" t="str">
        <f>IFERROR(VLOOKUP($D44,'Master Sheet'!$B:$AA,2,FALSE),"")</f>
        <v/>
      </c>
      <c r="J44" s="34" t="str">
        <f>IFERROR(VLOOKUP($D44,'Master Sheet'!$B:$AA,5,FALSE),"")</f>
        <v/>
      </c>
      <c r="K44" s="35" t="str">
        <f>IFERROR(VLOOKUP($D44,'Master Sheet'!$B:$AA,8,FALSE),"")</f>
        <v/>
      </c>
      <c r="M44" s="9"/>
    </row>
    <row r="45" spans="1:13" ht="13.5" thickBot="1" x14ac:dyDescent="0.3">
      <c r="A45" s="10"/>
      <c r="B45" s="31"/>
      <c r="C45" s="46"/>
      <c r="D45" s="47" t="s">
        <v>606</v>
      </c>
      <c r="E45" s="48"/>
      <c r="F45" s="47"/>
      <c r="G45" s="49" t="str">
        <f>IFERROR(VLOOKUP($D45,'Master Sheet'!$B:$AA,3,FALSE),"")</f>
        <v/>
      </c>
      <c r="H45" s="47"/>
      <c r="I45" s="47" t="str">
        <f>IFERROR(VLOOKUP($D45,'Master Sheet'!$B:$AA,2,FALSE),"")</f>
        <v/>
      </c>
      <c r="J45" s="61" t="str">
        <f>IFERROR(VLOOKUP($D45,'Master Sheet'!$B:$AA,5,FALSE),"")</f>
        <v/>
      </c>
      <c r="K45" s="62" t="str">
        <f>IFERROR(VLOOKUP($D45,'Master Sheet'!$B:$AA,8,FALSE),"")</f>
        <v/>
      </c>
      <c r="M45" s="9"/>
    </row>
    <row r="46" spans="1:13" x14ac:dyDescent="0.25">
      <c r="A46" s="10"/>
      <c r="B46" s="31"/>
      <c r="C46" s="31"/>
      <c r="D46" s="32" t="s">
        <v>607</v>
      </c>
      <c r="E46" s="33"/>
      <c r="F46" s="2"/>
      <c r="G46" s="17" t="str">
        <f>IFERROR(VLOOKUP($D46,'Master Sheet'!$B:$AA,3,FALSE),"")</f>
        <v>Nikon NIKKOR Z 600mm f/4 TC VR S Lens</v>
      </c>
      <c r="H46" s="2"/>
      <c r="I46" s="2" t="str">
        <f>IFERROR(VLOOKUP($D46,'Master Sheet'!$B:$AA,2,FALSE),"")</f>
        <v>JMA504DA</v>
      </c>
      <c r="J46" s="34" t="str">
        <f>IFERROR(VLOOKUP($D46,'Master Sheet'!$B:$AA,5,FALSE),"")</f>
        <v>018208201136</v>
      </c>
      <c r="K46" s="35">
        <f>IFERROR(VLOOKUP($D46,'Master Sheet'!$B:$AA,8,FALSE),"")</f>
        <v>273914.95500000002</v>
      </c>
      <c r="M46" s="9"/>
    </row>
    <row r="47" spans="1:13" x14ac:dyDescent="0.25">
      <c r="A47" s="10"/>
      <c r="B47" s="31"/>
      <c r="C47" s="31"/>
      <c r="D47" s="32" t="s">
        <v>528</v>
      </c>
      <c r="E47" s="33"/>
      <c r="F47" s="2"/>
      <c r="G47" s="17" t="str">
        <f>IFERROR(VLOOKUP($D47,'Master Sheet'!$B:$AA,3,FALSE),"")</f>
        <v>LF-N1 Rear Lens Cap (Z-Series)</v>
      </c>
      <c r="H47" s="2"/>
      <c r="I47" s="2" t="str">
        <f>IFERROR(VLOOKUP($D47,'Master Sheet'!$B:$AA,2,FALSE),"")</f>
        <v>JMD00101</v>
      </c>
      <c r="J47" s="34" t="str">
        <f>IFERROR(VLOOKUP($D47,'Master Sheet'!$B:$AA,5,FALSE),"")</f>
        <v>018208041824</v>
      </c>
      <c r="K47" s="35">
        <f>IFERROR(VLOOKUP($D47,'Master Sheet'!$B:$AA,8,FALSE),"")</f>
        <v>107.955</v>
      </c>
      <c r="M47" s="9"/>
    </row>
    <row r="48" spans="1:13" ht="13.5" thickBot="1" x14ac:dyDescent="0.3">
      <c r="A48" s="10"/>
      <c r="B48" s="31"/>
      <c r="C48" s="31"/>
      <c r="D48" s="32"/>
      <c r="E48" s="33"/>
      <c r="F48" s="2"/>
      <c r="G48" s="17" t="str">
        <f>IFERROR(VLOOKUP($D48,'Master Sheet'!$B:$AA,3,FALSE),"")</f>
        <v/>
      </c>
      <c r="H48" s="2"/>
      <c r="I48" s="2" t="str">
        <f>IFERROR(VLOOKUP($D48,'Master Sheet'!$B:$AA,2,FALSE),"")</f>
        <v/>
      </c>
      <c r="J48" s="34" t="str">
        <f>IFERROR(VLOOKUP($D48,'Master Sheet'!$B:$AA,5,FALSE),"")</f>
        <v/>
      </c>
      <c r="K48" s="35" t="str">
        <f>IFERROR(VLOOKUP($D48,'Master Sheet'!$B:$AA,8,FALSE),"")</f>
        <v/>
      </c>
      <c r="M48" s="9"/>
    </row>
    <row r="49" spans="1:13" ht="13.5" thickBot="1" x14ac:dyDescent="0.3">
      <c r="A49" s="10"/>
      <c r="B49" s="31"/>
      <c r="C49" s="46"/>
      <c r="D49" s="47" t="s">
        <v>831</v>
      </c>
      <c r="E49" s="48"/>
      <c r="F49" s="47"/>
      <c r="G49" s="49" t="str">
        <f>IFERROR(VLOOKUP($D49,'Master Sheet'!$B:$AA,3,FALSE),"")</f>
        <v/>
      </c>
      <c r="H49" s="47"/>
      <c r="I49" s="47" t="s">
        <v>592</v>
      </c>
      <c r="J49" s="61"/>
      <c r="K49" s="62" t="str">
        <f>IFERROR(VLOOKUP($D49,'Master Sheet'!$B:$AA,8,FALSE),"")</f>
        <v/>
      </c>
      <c r="M49" s="9"/>
    </row>
    <row r="50" spans="1:13" x14ac:dyDescent="0.25">
      <c r="A50" s="10"/>
      <c r="B50" s="31"/>
      <c r="C50" s="31"/>
      <c r="D50" s="32" t="s">
        <v>827</v>
      </c>
      <c r="E50" s="33"/>
      <c r="F50" s="2"/>
      <c r="G50" s="17" t="str">
        <f>IFERROR(VLOOKUP($D50,'Master Sheet'!$B:$AA,3,FALSE),"")</f>
        <v>Nikon NIKKOR Z 600mm f/6.3 VR S Lens</v>
      </c>
      <c r="H50" s="2"/>
      <c r="I50" s="2" t="str">
        <f>IFERROR(VLOOKUP($D50,'Master Sheet'!$B:$AA,2,FALSE),"")</f>
        <v>JMA505DA</v>
      </c>
      <c r="J50" s="34" t="str">
        <f>IFERROR(VLOOKUP($D50,'Master Sheet'!$B:$AA,5,FALSE),"")</f>
        <v>018208201228</v>
      </c>
      <c r="K50" s="35">
        <f>IFERROR(VLOOKUP($D50,'Master Sheet'!$B:$AA,8,FALSE),"")</f>
        <v>93914.955000000002</v>
      </c>
      <c r="M50" s="9"/>
    </row>
    <row r="51" spans="1:13" x14ac:dyDescent="0.25">
      <c r="A51" s="10"/>
      <c r="B51" s="31"/>
      <c r="C51" s="31"/>
      <c r="D51" s="32" t="s">
        <v>588</v>
      </c>
      <c r="E51" s="33"/>
      <c r="F51" s="2"/>
      <c r="G51" s="17" t="str">
        <f>IFERROR(VLOOKUP($D51,'Master Sheet'!$B:$AA,3,FALSE),"")</f>
        <v>95mm Z-Series Lens Cap</v>
      </c>
      <c r="H51" s="2"/>
      <c r="I51" s="2" t="str">
        <f>IFERROR(VLOOKUP($D51,'Master Sheet'!$B:$AA,2,FALSE),"")</f>
        <v>JMD01601</v>
      </c>
      <c r="J51" s="34" t="str">
        <f>IFERROR(VLOOKUP($D51,'Master Sheet'!$B:$AA,5,FALSE),"")</f>
        <v>018208042715</v>
      </c>
      <c r="K51" s="35">
        <f>IFERROR(VLOOKUP($D51,'Master Sheet'!$B:$AA,8,FALSE),"")</f>
        <v>359.95499999999998</v>
      </c>
      <c r="M51" s="9"/>
    </row>
    <row r="52" spans="1:13" x14ac:dyDescent="0.25">
      <c r="A52" s="10"/>
      <c r="B52" s="31"/>
      <c r="C52" s="31"/>
      <c r="D52" s="32" t="s">
        <v>528</v>
      </c>
      <c r="E52" s="33"/>
      <c r="F52" s="2"/>
      <c r="G52" s="17" t="str">
        <f>IFERROR(VLOOKUP($D52,'Master Sheet'!$B:$AA,3,FALSE),"")</f>
        <v>LF-N1 Rear Lens Cap (Z-Series)</v>
      </c>
      <c r="H52" s="2"/>
      <c r="I52" s="2" t="str">
        <f>IFERROR(VLOOKUP($D52,'Master Sheet'!$B:$AA,2,FALSE),"")</f>
        <v>JMD00101</v>
      </c>
      <c r="J52" s="34" t="str">
        <f>IFERROR(VLOOKUP($D52,'Master Sheet'!$B:$AA,5,FALSE),"")</f>
        <v>018208041824</v>
      </c>
      <c r="K52" s="35">
        <f>IFERROR(VLOOKUP($D52,'Master Sheet'!$B:$AA,8,FALSE),"")</f>
        <v>107.955</v>
      </c>
      <c r="M52" s="9"/>
    </row>
    <row r="53" spans="1:13" x14ac:dyDescent="0.25">
      <c r="A53" s="10"/>
      <c r="B53" s="31"/>
      <c r="C53" s="31"/>
      <c r="D53" s="32" t="s">
        <v>87</v>
      </c>
      <c r="E53" s="33"/>
      <c r="F53" s="2"/>
      <c r="G53" s="17" t="str">
        <f>IFERROR(VLOOKUP($D53,'Master Sheet'!$B:$AA,3,FALSE),"")</f>
        <v xml:space="preserve">95MM FILTER NC NEUTRAL COLOUR </v>
      </c>
      <c r="H53" s="2"/>
      <c r="I53" s="2" t="str">
        <f>IFERROR(VLOOKUP($D53,'Master Sheet'!$B:$AA,2,FALSE),"")</f>
        <v>FTA70601</v>
      </c>
      <c r="J53" s="34" t="str">
        <f>IFERROR(VLOOKUP($D53,'Master Sheet'!$B:$AA,5,FALSE),"")</f>
        <v>018208025084</v>
      </c>
      <c r="K53" s="35">
        <f>IFERROR(VLOOKUP($D53,'Master Sheet'!$B:$AA,8,FALSE),"")</f>
        <v>3176.9549999999999</v>
      </c>
      <c r="M53" s="9"/>
    </row>
    <row r="54" spans="1:13" x14ac:dyDescent="0.25">
      <c r="A54" s="10"/>
      <c r="B54" s="31"/>
      <c r="C54" s="31"/>
      <c r="D54" s="32" t="s">
        <v>80</v>
      </c>
      <c r="E54" s="33"/>
      <c r="F54" s="2"/>
      <c r="G54" s="17" t="str">
        <f>IFERROR(VLOOKUP($D54,'Master Sheet'!$B:$AA,3,FALSE),"")</f>
        <v xml:space="preserve">95MM FILTER C-PL II             </v>
      </c>
      <c r="H54" s="2"/>
      <c r="I54" s="2" t="str">
        <f>IFERROR(VLOOKUP($D54,'Master Sheet'!$B:$AA,2,FALSE),"")</f>
        <v>FTA70701</v>
      </c>
      <c r="J54" s="34" t="str">
        <f>IFERROR(VLOOKUP($D54,'Master Sheet'!$B:$AA,5,FALSE),"")</f>
        <v>018208025091</v>
      </c>
      <c r="K54" s="35">
        <f>IFERROR(VLOOKUP($D54,'Master Sheet'!$B:$AA,8,FALSE),"")</f>
        <v>8477.9550000000017</v>
      </c>
      <c r="M54" s="9"/>
    </row>
    <row r="55" spans="1:13" ht="13.5" thickBot="1" x14ac:dyDescent="0.3">
      <c r="A55" s="10"/>
      <c r="B55" s="31"/>
      <c r="C55" s="31"/>
      <c r="D55" s="32"/>
      <c r="E55" s="33"/>
      <c r="F55" s="2"/>
      <c r="G55" s="17" t="str">
        <f>IFERROR(VLOOKUP($D55,'Master Sheet'!$B:$AA,3,FALSE),"")</f>
        <v/>
      </c>
      <c r="H55" s="2"/>
      <c r="I55" s="2" t="str">
        <f>IFERROR(VLOOKUP($D55,'Master Sheet'!$B:$AA,2,FALSE),"")</f>
        <v/>
      </c>
      <c r="J55" s="34" t="str">
        <f>IFERROR(VLOOKUP($D55,'Master Sheet'!$B:$AA,5,FALSE),"")</f>
        <v/>
      </c>
      <c r="K55" s="35" t="str">
        <f>IFERROR(VLOOKUP($D55,'Master Sheet'!$B:$AA,8,FALSE),"")</f>
        <v/>
      </c>
      <c r="M55" s="9"/>
    </row>
    <row r="56" spans="1:13" ht="13.5" thickBot="1" x14ac:dyDescent="0.3">
      <c r="A56" s="10"/>
      <c r="B56" s="31"/>
      <c r="C56" s="46"/>
      <c r="D56" s="47" t="s">
        <v>506</v>
      </c>
      <c r="E56" s="48"/>
      <c r="F56" s="47"/>
      <c r="G56" s="49" t="str">
        <f>IFERROR(VLOOKUP($D56,'Master Sheet'!$B:$AA,3,FALSE),"")</f>
        <v/>
      </c>
      <c r="H56" s="47"/>
      <c r="I56" s="47" t="s">
        <v>525</v>
      </c>
      <c r="J56" s="61"/>
      <c r="K56" s="62" t="str">
        <f>IFERROR(VLOOKUP($D56,'Master Sheet'!$B:$AA,8,FALSE),"")</f>
        <v/>
      </c>
      <c r="M56" s="9"/>
    </row>
    <row r="57" spans="1:13" x14ac:dyDescent="0.25">
      <c r="A57" s="10"/>
      <c r="B57" s="31"/>
      <c r="C57" s="31"/>
      <c r="D57" s="32" t="s">
        <v>504</v>
      </c>
      <c r="E57" s="33"/>
      <c r="F57" s="2"/>
      <c r="G57" s="17" t="str">
        <f>IFERROR(VLOOKUP($D57,'Master Sheet'!$B:$AA,3,FALSE),"")</f>
        <v>Nikon NIKKOR Z 800mm f/6.3 VR S Lens</v>
      </c>
      <c r="H57" s="2"/>
      <c r="I57" s="2" t="str">
        <f>IFERROR(VLOOKUP($D57,'Master Sheet'!$B:$AA,2,FALSE),"")</f>
        <v>JMA502DA</v>
      </c>
      <c r="J57" s="34" t="str">
        <f>IFERROR(VLOOKUP($D57,'Master Sheet'!$B:$AA,5,FALSE),"")</f>
        <v>018208201082</v>
      </c>
      <c r="K57" s="35">
        <f>IFERROR(VLOOKUP($D57,'Master Sheet'!$B:$AA,8,FALSE),"")</f>
        <v>117395.955</v>
      </c>
      <c r="M57" s="9"/>
    </row>
    <row r="58" spans="1:13" x14ac:dyDescent="0.25">
      <c r="A58" s="10"/>
      <c r="B58" s="31"/>
      <c r="C58" s="31"/>
      <c r="D58" s="32" t="s">
        <v>528</v>
      </c>
      <c r="E58" s="33"/>
      <c r="F58" s="2"/>
      <c r="G58" s="17" t="str">
        <f>IFERROR(VLOOKUP($D58,'Master Sheet'!$B:$AA,3,FALSE),"")</f>
        <v>LF-N1 Rear Lens Cap (Z-Series)</v>
      </c>
      <c r="H58" s="2"/>
      <c r="I58" s="2" t="str">
        <f>IFERROR(VLOOKUP($D58,'Master Sheet'!$B:$AA,2,FALSE),"")</f>
        <v>JMD00101</v>
      </c>
      <c r="J58" s="34" t="str">
        <f>IFERROR(VLOOKUP($D58,'Master Sheet'!$B:$AA,5,FALSE),"")</f>
        <v>018208041824</v>
      </c>
      <c r="K58" s="35">
        <f>IFERROR(VLOOKUP($D58,'Master Sheet'!$B:$AA,8,FALSE),"")</f>
        <v>107.955</v>
      </c>
      <c r="M58" s="9"/>
    </row>
    <row r="59" spans="1:13" x14ac:dyDescent="0.25">
      <c r="A59" s="10"/>
      <c r="B59" s="31"/>
      <c r="C59" s="31"/>
      <c r="D59" s="32"/>
      <c r="E59" s="33"/>
      <c r="F59" s="2"/>
      <c r="G59" s="17" t="str">
        <f>IFERROR(VLOOKUP($D59,'Master Sheet'!$B:$AA,3,FALSE),"")</f>
        <v/>
      </c>
      <c r="H59" s="2"/>
      <c r="I59" s="2" t="str">
        <f>IFERROR(VLOOKUP($D59,'Master Sheet'!$B:$AA,2,FALSE),"")</f>
        <v/>
      </c>
      <c r="J59" s="34" t="str">
        <f>IFERROR(VLOOKUP($D59,'Master Sheet'!$B:$AA,5,FALSE),"")</f>
        <v/>
      </c>
      <c r="K59" s="35" t="str">
        <f>IFERROR(VLOOKUP($D59,'Master Sheet'!$B:$AA,8,FALSE),"")</f>
        <v/>
      </c>
      <c r="M59" s="9"/>
    </row>
    <row r="60" spans="1:13" ht="13.5" thickBot="1" x14ac:dyDescent="0.3">
      <c r="A60" s="10"/>
      <c r="B60" s="31"/>
      <c r="C60" s="31"/>
      <c r="D60" s="32"/>
      <c r="E60" s="33"/>
      <c r="F60" s="2"/>
      <c r="H60" s="2"/>
      <c r="J60" s="34"/>
      <c r="K60" s="35"/>
      <c r="M60" s="9"/>
    </row>
    <row r="61" spans="1:13" ht="13.5" thickBot="1" x14ac:dyDescent="0.3">
      <c r="A61" s="10"/>
      <c r="B61" s="31"/>
      <c r="C61" s="31"/>
      <c r="D61" s="32"/>
      <c r="E61" s="36"/>
      <c r="F61" s="8"/>
      <c r="G61" s="96" t="s">
        <v>229</v>
      </c>
      <c r="H61" s="97"/>
      <c r="I61" s="97"/>
      <c r="J61" s="97"/>
      <c r="K61" s="98"/>
      <c r="M61" s="9"/>
    </row>
    <row r="62" spans="1:13" ht="13.5" thickBot="1" x14ac:dyDescent="0.3">
      <c r="A62" s="10"/>
      <c r="B62" s="31"/>
      <c r="C62" s="31"/>
      <c r="D62" s="38"/>
      <c r="E62" s="36"/>
      <c r="F62" s="8"/>
      <c r="G62" s="22"/>
      <c r="H62" s="8"/>
      <c r="J62" s="34"/>
      <c r="K62" s="35"/>
      <c r="M62" s="9"/>
    </row>
    <row r="63" spans="1:13" ht="13.5" thickBot="1" x14ac:dyDescent="0.3">
      <c r="A63" s="10"/>
      <c r="B63" s="31"/>
      <c r="C63" s="39" t="s">
        <v>48</v>
      </c>
      <c r="D63" s="40"/>
      <c r="E63" s="40"/>
      <c r="F63" s="55"/>
      <c r="G63" s="41" t="s">
        <v>643</v>
      </c>
      <c r="H63" s="55"/>
      <c r="I63" s="42" t="s">
        <v>52</v>
      </c>
      <c r="J63" s="43" t="s">
        <v>47</v>
      </c>
      <c r="K63" s="56" t="s">
        <v>943</v>
      </c>
      <c r="M63" s="9"/>
    </row>
    <row r="64" spans="1:13" ht="13.5" thickBot="1" x14ac:dyDescent="0.3">
      <c r="A64" s="10"/>
      <c r="B64" s="31"/>
      <c r="C64" s="31"/>
      <c r="D64" s="32"/>
      <c r="E64" s="33"/>
      <c r="F64" s="2"/>
      <c r="H64" s="2"/>
      <c r="J64" s="34"/>
      <c r="K64" s="35"/>
      <c r="M64" s="9"/>
    </row>
    <row r="65" spans="1:13" ht="13.5" thickBot="1" x14ac:dyDescent="0.3">
      <c r="A65" s="10"/>
      <c r="B65" s="31"/>
      <c r="C65" s="46"/>
      <c r="D65" s="47" t="s">
        <v>840</v>
      </c>
      <c r="E65" s="48"/>
      <c r="F65" s="47"/>
      <c r="G65" s="49"/>
      <c r="H65" s="47"/>
      <c r="I65" s="47" t="s">
        <v>841</v>
      </c>
      <c r="J65" s="61"/>
      <c r="K65" s="62"/>
      <c r="M65" s="9"/>
    </row>
    <row r="66" spans="1:13" x14ac:dyDescent="0.25">
      <c r="A66" s="10"/>
      <c r="B66" s="31"/>
      <c r="C66" s="31"/>
      <c r="D66" s="32" t="s">
        <v>839</v>
      </c>
      <c r="E66" s="33"/>
      <c r="F66" s="2"/>
      <c r="G66" s="17" t="str">
        <f>IFERROR(VLOOKUP($D66,'Master Sheet'!$B:$AA,3,FALSE),"")</f>
        <v>Nikon NIKKOR Z 28-400mm F4-8 VR Lens</v>
      </c>
      <c r="H66" s="2"/>
      <c r="I66" s="2" t="str">
        <f>IFERROR(VLOOKUP($D66,'Master Sheet'!$B:$AA,2,FALSE),"")</f>
        <v>JMA722DA</v>
      </c>
      <c r="J66" s="34" t="str">
        <f>IFERROR(VLOOKUP($D66,'Master Sheet'!$B:$AA,5,FALSE),"")</f>
        <v>018208201259</v>
      </c>
      <c r="K66" s="35">
        <f>IFERROR(VLOOKUP($D66,'Master Sheet'!$B:$AA,8,FALSE),"")</f>
        <v>25046.955000000002</v>
      </c>
      <c r="M66" s="9"/>
    </row>
    <row r="67" spans="1:13" x14ac:dyDescent="0.25">
      <c r="A67" s="10"/>
      <c r="B67" s="31"/>
      <c r="C67" s="31"/>
      <c r="D67" s="32" t="s">
        <v>535</v>
      </c>
      <c r="E67" s="33"/>
      <c r="F67" s="2"/>
      <c r="G67" s="17" t="str">
        <f>IFERROR(VLOOKUP($D67,'Master Sheet'!$B:$AA,3,FALSE),"")</f>
        <v>77mm Z-Series Lens Cap</v>
      </c>
      <c r="H67" s="2"/>
      <c r="I67" s="2" t="str">
        <f>IFERROR(VLOOKUP($D67,'Master Sheet'!$B:$AA,2,FALSE),"")</f>
        <v>JMD00801</v>
      </c>
      <c r="J67" s="34" t="str">
        <f>IFERROR(VLOOKUP($D67,'Master Sheet'!$B:$AA,5,FALSE),"")</f>
        <v>4960759902238</v>
      </c>
      <c r="K67" s="35">
        <f>IFERROR(VLOOKUP($D67,'Master Sheet'!$B:$AA,8,FALSE),"")</f>
        <v>233.95499999999998</v>
      </c>
      <c r="M67" s="9"/>
    </row>
    <row r="68" spans="1:13" x14ac:dyDescent="0.25">
      <c r="A68" s="10"/>
      <c r="B68" s="31"/>
      <c r="C68" s="31"/>
      <c r="D68" s="32" t="s">
        <v>528</v>
      </c>
      <c r="E68" s="33"/>
      <c r="F68" s="2"/>
      <c r="G68" s="17" t="str">
        <f>IFERROR(VLOOKUP($D68,'Master Sheet'!$B:$AA,3,FALSE),"")</f>
        <v>LF-N1 Rear Lens Cap (Z-Series)</v>
      </c>
      <c r="H68" s="2"/>
      <c r="I68" s="2" t="str">
        <f>IFERROR(VLOOKUP($D68,'Master Sheet'!$B:$AA,2,FALSE),"")</f>
        <v>JMD00101</v>
      </c>
      <c r="J68" s="34" t="str">
        <f>IFERROR(VLOOKUP($D68,'Master Sheet'!$B:$AA,5,FALSE),"")</f>
        <v>018208041824</v>
      </c>
      <c r="K68" s="35">
        <f>IFERROR(VLOOKUP($D68,'Master Sheet'!$B:$AA,8,FALSE),"")</f>
        <v>107.955</v>
      </c>
      <c r="M68" s="9"/>
    </row>
    <row r="69" spans="1:13" x14ac:dyDescent="0.25">
      <c r="A69" s="10"/>
      <c r="B69" s="31"/>
      <c r="C69" s="31"/>
      <c r="D69" s="32" t="s">
        <v>63</v>
      </c>
      <c r="E69" s="33"/>
      <c r="F69" s="2"/>
      <c r="G69" s="17" t="str">
        <f>IFERROR(VLOOKUP($D69,'Master Sheet'!$B:$AA,3,FALSE),"")</f>
        <v>77MM FILTER NC NEUTRAL COLOUR</v>
      </c>
      <c r="H69" s="2"/>
      <c r="I69" s="2" t="str">
        <f>IFERROR(VLOOKUP($D69,'Master Sheet'!$B:$AA,2,FALSE),"")</f>
        <v>FTA60801</v>
      </c>
      <c r="J69" s="34" t="str">
        <f>IFERROR(VLOOKUP($D69,'Master Sheet'!$B:$AA,5,FALSE),"")</f>
        <v>018208024827</v>
      </c>
      <c r="K69" s="35">
        <f>IFERROR(VLOOKUP($D69,'Master Sheet'!$B:$AA,8,FALSE),"")</f>
        <v>1592.9550000000002</v>
      </c>
      <c r="M69" s="9"/>
    </row>
    <row r="70" spans="1:13" x14ac:dyDescent="0.25">
      <c r="A70" s="10"/>
      <c r="B70" s="31"/>
      <c r="C70" s="31"/>
      <c r="D70" s="32" t="s">
        <v>64</v>
      </c>
      <c r="E70" s="33"/>
      <c r="F70" s="2"/>
      <c r="G70" s="17" t="str">
        <f>IFERROR(VLOOKUP($D70,'Master Sheet'!$B:$AA,3,FALSE),"")</f>
        <v>77MM FILTER C-PL II</v>
      </c>
      <c r="H70" s="2"/>
      <c r="I70" s="2" t="str">
        <f>IFERROR(VLOOKUP($D70,'Master Sheet'!$B:$AA,2,FALSE),"")</f>
        <v>FTA61001</v>
      </c>
      <c r="J70" s="34" t="str">
        <f>IFERROR(VLOOKUP($D70,'Master Sheet'!$B:$AA,5,FALSE),"")</f>
        <v>018208022601</v>
      </c>
      <c r="K70" s="35">
        <f>IFERROR(VLOOKUP($D70,'Master Sheet'!$B:$AA,8,FALSE),"")</f>
        <v>3680.9549999999999</v>
      </c>
      <c r="M70" s="9"/>
    </row>
    <row r="71" spans="1:13" ht="13.5" thickBot="1" x14ac:dyDescent="0.3">
      <c r="A71" s="10"/>
      <c r="B71" s="31"/>
      <c r="C71" s="31"/>
      <c r="D71" s="32"/>
      <c r="E71" s="33"/>
      <c r="F71" s="2"/>
      <c r="G71" s="17" t="str">
        <f>IFERROR(VLOOKUP($D71,'Master Sheet'!$B:$AA,3,FALSE),"")</f>
        <v/>
      </c>
      <c r="H71" s="2"/>
      <c r="I71" s="2" t="str">
        <f>IFERROR(VLOOKUP($D71,'Master Sheet'!$B:$AA,2,FALSE),"")</f>
        <v/>
      </c>
      <c r="J71" s="34" t="str">
        <f>IFERROR(VLOOKUP($D71,'Master Sheet'!$B:$AA,5,FALSE),"")</f>
        <v/>
      </c>
      <c r="K71" s="35" t="str">
        <f>IFERROR(VLOOKUP($D71,'Master Sheet'!$B:$AA,8,FALSE),"")</f>
        <v/>
      </c>
      <c r="M71" s="9"/>
    </row>
    <row r="72" spans="1:13" ht="13.5" thickBot="1" x14ac:dyDescent="0.3">
      <c r="A72" s="10"/>
      <c r="B72" s="31"/>
      <c r="C72" s="46"/>
      <c r="D72" s="47" t="s">
        <v>248</v>
      </c>
      <c r="E72" s="48"/>
      <c r="F72" s="47"/>
      <c r="G72" s="49"/>
      <c r="H72" s="47"/>
      <c r="I72" s="47" t="s">
        <v>242</v>
      </c>
      <c r="J72" s="61"/>
      <c r="K72" s="62"/>
      <c r="M72" s="9"/>
    </row>
    <row r="73" spans="1:13" x14ac:dyDescent="0.25">
      <c r="A73" s="10"/>
      <c r="B73" s="31"/>
      <c r="C73" s="31"/>
      <c r="D73" s="32" t="s">
        <v>112</v>
      </c>
      <c r="E73" s="33"/>
      <c r="F73" s="2"/>
      <c r="G73" s="17" t="str">
        <f>IFERROR(VLOOKUP($D73,'Master Sheet'!$B:$AA,3,FALSE),"")</f>
        <v>Nikon NIKKOR Z 50-250MM F4.5-6.3 VR DX  Lens</v>
      </c>
      <c r="H73" s="2"/>
      <c r="I73" s="2" t="str">
        <f>IFERROR(VLOOKUP($D73,'Master Sheet'!$B:$AA,2,FALSE),"")</f>
        <v>JMA707DA</v>
      </c>
      <c r="J73" s="34" t="str">
        <f>IFERROR(VLOOKUP($D73,'Master Sheet'!$B:$AA,5,FALSE),"")</f>
        <v>018208200856</v>
      </c>
      <c r="K73" s="35">
        <f>IFERROR(VLOOKUP($D73,'Master Sheet'!$B:$AA,8,FALSE),"")</f>
        <v>5876.9549999999999</v>
      </c>
      <c r="M73" s="9"/>
    </row>
    <row r="74" spans="1:13" x14ac:dyDescent="0.25">
      <c r="A74" s="10"/>
      <c r="B74" s="31"/>
      <c r="C74" s="31"/>
      <c r="D74" s="32" t="s">
        <v>529</v>
      </c>
      <c r="E74" s="33"/>
      <c r="F74" s="2"/>
      <c r="G74" s="17" t="str">
        <f>IFERROR(VLOOKUP($D74,'Master Sheet'!$B:$AA,3,FALSE),"")</f>
        <v>62mm Z-Series Lens Cap</v>
      </c>
      <c r="H74" s="2"/>
      <c r="I74" s="2" t="str">
        <f>IFERROR(VLOOKUP($D74,'Master Sheet'!$B:$AA,2,FALSE),"")</f>
        <v>JMD00201</v>
      </c>
      <c r="J74" s="34" t="str">
        <f>IFERROR(VLOOKUP($D74,'Master Sheet'!$B:$AA,5,FALSE),"")</f>
        <v>4960759149893</v>
      </c>
      <c r="K74" s="35">
        <f>IFERROR(VLOOKUP($D74,'Master Sheet'!$B:$AA,8,FALSE),"")</f>
        <v>170.95499999999998</v>
      </c>
      <c r="M74" s="9"/>
    </row>
    <row r="75" spans="1:13" x14ac:dyDescent="0.25">
      <c r="A75" s="10"/>
      <c r="B75" s="31"/>
      <c r="C75" s="31"/>
      <c r="D75" s="32" t="s">
        <v>528</v>
      </c>
      <c r="E75" s="33"/>
      <c r="F75" s="2"/>
      <c r="G75" s="17" t="str">
        <f>IFERROR(VLOOKUP($D75,'Master Sheet'!$B:$AA,3,FALSE),"")</f>
        <v>LF-N1 Rear Lens Cap (Z-Series)</v>
      </c>
      <c r="H75" s="2"/>
      <c r="I75" s="2" t="str">
        <f>IFERROR(VLOOKUP($D75,'Master Sheet'!$B:$AA,2,FALSE),"")</f>
        <v>JMD00101</v>
      </c>
      <c r="J75" s="34" t="str">
        <f>IFERROR(VLOOKUP($D75,'Master Sheet'!$B:$AA,5,FALSE),"")</f>
        <v>018208041824</v>
      </c>
      <c r="K75" s="35">
        <f>IFERROR(VLOOKUP($D75,'Master Sheet'!$B:$AA,8,FALSE),"")</f>
        <v>107.955</v>
      </c>
      <c r="M75" s="9"/>
    </row>
    <row r="76" spans="1:13" x14ac:dyDescent="0.25">
      <c r="A76" s="10"/>
      <c r="B76" s="31"/>
      <c r="C76" s="31"/>
      <c r="D76" s="32" t="s">
        <v>69</v>
      </c>
      <c r="E76" s="33"/>
      <c r="F76" s="2"/>
      <c r="G76" s="17" t="str">
        <f>IFERROR(VLOOKUP($D76,'Master Sheet'!$B:$AA,3,FALSE),"")</f>
        <v>62MM FILTER NC NEUTRAL COLOUR</v>
      </c>
      <c r="H76" s="2"/>
      <c r="I76" s="2" t="str">
        <f>IFERROR(VLOOKUP($D76,'Master Sheet'!$B:$AA,2,FALSE),"")</f>
        <v>FTA11401</v>
      </c>
      <c r="J76" s="34" t="str">
        <f>IFERROR(VLOOKUP($D76,'Master Sheet'!$B:$AA,5,FALSE),"")</f>
        <v>018208024803</v>
      </c>
      <c r="K76" s="35">
        <f>IFERROR(VLOOKUP($D76,'Master Sheet'!$B:$AA,8,FALSE),"")</f>
        <v>710.95500000000004</v>
      </c>
      <c r="M76" s="9"/>
    </row>
    <row r="77" spans="1:13" x14ac:dyDescent="0.25">
      <c r="A77" s="10"/>
      <c r="B77" s="31"/>
      <c r="C77" s="31"/>
      <c r="D77" s="32" t="s">
        <v>70</v>
      </c>
      <c r="E77" s="33"/>
      <c r="F77" s="2"/>
      <c r="G77" s="17" t="str">
        <f>IFERROR(VLOOKUP($D77,'Master Sheet'!$B:$AA,3,FALSE),"")</f>
        <v xml:space="preserve">62MM C-PL II FILTER                  </v>
      </c>
      <c r="H77" s="2"/>
      <c r="I77" s="2" t="str">
        <f>IFERROR(VLOOKUP($D77,'Master Sheet'!$B:$AA,2,FALSE),"")</f>
        <v>FTA11501</v>
      </c>
      <c r="J77" s="34" t="str">
        <f>IFERROR(VLOOKUP($D77,'Master Sheet'!$B:$AA,5,FALSE),"")</f>
        <v>018208022526</v>
      </c>
      <c r="K77" s="35">
        <f>IFERROR(VLOOKUP($D77,'Master Sheet'!$B:$AA,8,FALSE),"")</f>
        <v>2447.9549999999999</v>
      </c>
      <c r="M77" s="9"/>
    </row>
    <row r="78" spans="1:13" ht="13.5" thickBot="1" x14ac:dyDescent="0.3">
      <c r="A78" s="10"/>
      <c r="B78" s="31"/>
      <c r="C78" s="31"/>
      <c r="D78" s="32"/>
      <c r="E78" s="33"/>
      <c r="F78" s="2"/>
      <c r="G78" s="17" t="str">
        <f>IFERROR(VLOOKUP($D78,'Master Sheet'!$B:$AA,3,FALSE),"")</f>
        <v/>
      </c>
      <c r="H78" s="2"/>
      <c r="I78" s="2" t="str">
        <f>IFERROR(VLOOKUP($D78,'Master Sheet'!$B:$AA,2,FALSE),"")</f>
        <v/>
      </c>
      <c r="J78" s="34" t="str">
        <f>IFERROR(VLOOKUP($D78,'Master Sheet'!$B:$AA,5,FALSE),"")</f>
        <v/>
      </c>
      <c r="K78" s="35" t="str">
        <f>IFERROR(VLOOKUP($D78,'Master Sheet'!$B:$AA,8,FALSE),"")</f>
        <v/>
      </c>
      <c r="M78" s="9"/>
    </row>
    <row r="79" spans="1:13" ht="13.5" thickBot="1" x14ac:dyDescent="0.3">
      <c r="A79" s="10"/>
      <c r="B79" s="31"/>
      <c r="C79" s="46"/>
      <c r="D79" s="47" t="s">
        <v>706</v>
      </c>
      <c r="E79" s="48"/>
      <c r="F79" s="47"/>
      <c r="G79" s="49"/>
      <c r="H79" s="47"/>
      <c r="I79" s="47" t="s">
        <v>915</v>
      </c>
      <c r="J79" s="61"/>
      <c r="K79" s="62" t="str">
        <f>IFERROR(VLOOKUP($D79,'Master Sheet'!$B:$AA,8,FALSE),"")</f>
        <v/>
      </c>
      <c r="M79" s="9"/>
    </row>
    <row r="80" spans="1:13" x14ac:dyDescent="0.25">
      <c r="A80" s="10"/>
      <c r="B80" s="31"/>
      <c r="C80" s="31"/>
      <c r="D80" s="32" t="s">
        <v>705</v>
      </c>
      <c r="E80" s="33"/>
      <c r="F80" s="2"/>
      <c r="G80" s="17" t="str">
        <f>IFERROR(VLOOKUP($D80,'Master Sheet'!$B:$AA,3,FALSE),"")</f>
        <v>Nikon NIKKOR Z 70-180mm f/2.8 Lens</v>
      </c>
      <c r="H80" s="2"/>
      <c r="I80" s="2" t="str">
        <f>IFERROR(VLOOKUP($D80,'Master Sheet'!$B:$AA,2,FALSE),"")</f>
        <v>JMA721DA</v>
      </c>
      <c r="J80" s="34" t="str">
        <f>IFERROR(VLOOKUP($D80,'Master Sheet'!$B:$AA,5,FALSE),"")</f>
        <v>018208201204</v>
      </c>
      <c r="K80" s="35">
        <f>IFERROR(VLOOKUP($D80,'Master Sheet'!$B:$AA,8,FALSE),"")</f>
        <v>22697.955000000002</v>
      </c>
      <c r="M80" s="9"/>
    </row>
    <row r="81" spans="1:13" x14ac:dyDescent="0.25">
      <c r="A81" s="10"/>
      <c r="B81" s="31"/>
      <c r="C81" s="31"/>
      <c r="D81" s="32" t="s">
        <v>533</v>
      </c>
      <c r="E81" s="33"/>
      <c r="F81" s="2"/>
      <c r="G81" s="17" t="str">
        <f>IFERROR(VLOOKUP($D81,'Master Sheet'!$B:$AA,3,FALSE),"")</f>
        <v>67mm Z-Series Lens Cap</v>
      </c>
      <c r="H81" s="2"/>
      <c r="I81" s="2" t="str">
        <f>IFERROR(VLOOKUP($D81,'Master Sheet'!$B:$AA,2,FALSE),"")</f>
        <v>JMD00701</v>
      </c>
      <c r="J81" s="34" t="str">
        <f>IFERROR(VLOOKUP($D81,'Master Sheet'!$B:$AA,5,FALSE),"")</f>
        <v>018208042302</v>
      </c>
      <c r="K81" s="35">
        <f>IFERROR(VLOOKUP($D81,'Master Sheet'!$B:$AA,8,FALSE),"")</f>
        <v>161.95499999999998</v>
      </c>
      <c r="M81" s="9"/>
    </row>
    <row r="82" spans="1:13" x14ac:dyDescent="0.25">
      <c r="A82" s="10"/>
      <c r="B82" s="31"/>
      <c r="C82" s="31"/>
      <c r="D82" s="32" t="s">
        <v>528</v>
      </c>
      <c r="E82" s="33"/>
      <c r="F82" s="2"/>
      <c r="G82" s="17" t="str">
        <f>IFERROR(VLOOKUP($D82,'Master Sheet'!$B:$AA,3,FALSE),"")</f>
        <v>LF-N1 Rear Lens Cap (Z-Series)</v>
      </c>
      <c r="H82" s="2"/>
      <c r="I82" s="2" t="str">
        <f>IFERROR(VLOOKUP($D82,'Master Sheet'!$B:$AA,2,FALSE),"")</f>
        <v>JMD00101</v>
      </c>
      <c r="J82" s="34" t="str">
        <f>IFERROR(VLOOKUP($D82,'Master Sheet'!$B:$AA,5,FALSE),"")</f>
        <v>018208041824</v>
      </c>
      <c r="K82" s="35">
        <f>IFERROR(VLOOKUP($D82,'Master Sheet'!$B:$AA,8,FALSE),"")</f>
        <v>107.955</v>
      </c>
      <c r="M82" s="9"/>
    </row>
    <row r="83" spans="1:13" x14ac:dyDescent="0.25">
      <c r="A83" s="10"/>
      <c r="B83" s="31"/>
      <c r="C83" s="31"/>
      <c r="D83" s="32" t="s">
        <v>67</v>
      </c>
      <c r="E83" s="33"/>
      <c r="F83" s="2"/>
      <c r="G83" s="17" t="str">
        <f>IFERROR(VLOOKUP($D83,'Master Sheet'!$B:$AA,3,FALSE),"")</f>
        <v>67MM FILTER NC NEUTRAL COLOUR</v>
      </c>
      <c r="H83" s="2"/>
      <c r="I83" s="2" t="str">
        <f>IFERROR(VLOOKUP($D83,'Master Sheet'!$B:$AA,2,FALSE),"")</f>
        <v>FTA13101</v>
      </c>
      <c r="J83" s="34" t="str">
        <f>IFERROR(VLOOKUP($D83,'Master Sheet'!$B:$AA,5,FALSE),"")</f>
        <v>018208022885</v>
      </c>
      <c r="K83" s="35">
        <f>IFERROR(VLOOKUP($D83,'Master Sheet'!$B:$AA,8,FALSE),"")</f>
        <v>863.95500000000004</v>
      </c>
      <c r="M83" s="9"/>
    </row>
    <row r="84" spans="1:13" x14ac:dyDescent="0.25">
      <c r="A84" s="10"/>
      <c r="B84" s="31"/>
      <c r="C84" s="31"/>
      <c r="D84" s="32" t="s">
        <v>68</v>
      </c>
      <c r="E84" s="33"/>
      <c r="F84" s="2"/>
      <c r="G84" s="17" t="str">
        <f>IFERROR(VLOOKUP($D84,'Master Sheet'!$B:$AA,3,FALSE),"")</f>
        <v xml:space="preserve">67MM FILTER C-PL II             </v>
      </c>
      <c r="H84" s="2"/>
      <c r="I84" s="2" t="str">
        <f>IFERROR(VLOOKUP($D84,'Master Sheet'!$B:$AA,2,FALSE),"")</f>
        <v>FTA13201</v>
      </c>
      <c r="J84" s="34" t="str">
        <f>IFERROR(VLOOKUP($D84,'Master Sheet'!$B:$AA,5,FALSE),"")</f>
        <v>018208022557</v>
      </c>
      <c r="K84" s="35">
        <f>IFERROR(VLOOKUP($D84,'Master Sheet'!$B:$AA,8,FALSE),"")</f>
        <v>2798.9549999999999</v>
      </c>
      <c r="M84" s="9"/>
    </row>
    <row r="85" spans="1:13" ht="13.5" thickBot="1" x14ac:dyDescent="0.3">
      <c r="A85" s="10"/>
      <c r="B85" s="31"/>
      <c r="C85" s="31"/>
      <c r="D85" s="32"/>
      <c r="E85" s="33"/>
      <c r="F85" s="2"/>
      <c r="G85" s="17" t="str">
        <f>IFERROR(VLOOKUP($D85,'Master Sheet'!$B:$AA,3,FALSE),"")</f>
        <v/>
      </c>
      <c r="H85" s="2"/>
      <c r="I85" s="2" t="str">
        <f>IFERROR(VLOOKUP($D85,'Master Sheet'!$B:$AA,2,FALSE),"")</f>
        <v/>
      </c>
      <c r="J85" s="34" t="str">
        <f>IFERROR(VLOOKUP($D85,'Master Sheet'!$B:$AA,5,FALSE),"")</f>
        <v/>
      </c>
      <c r="K85" s="35" t="str">
        <f>IFERROR(VLOOKUP($D85,'Master Sheet'!$B:$AA,8,FALSE),"")</f>
        <v/>
      </c>
      <c r="M85" s="9"/>
    </row>
    <row r="86" spans="1:13" ht="13.5" thickBot="1" x14ac:dyDescent="0.3">
      <c r="A86" s="10"/>
      <c r="B86" s="31"/>
      <c r="C86" s="46"/>
      <c r="D86" s="47" t="s">
        <v>247</v>
      </c>
      <c r="E86" s="48"/>
      <c r="F86" s="47"/>
      <c r="G86" s="49"/>
      <c r="H86" s="47"/>
      <c r="I86" s="47" t="s">
        <v>232</v>
      </c>
      <c r="J86" s="61" t="str">
        <f>IFERROR(VLOOKUP($D86,'Master Sheet'!$B:$AA,5,FALSE),"")</f>
        <v/>
      </c>
      <c r="K86" s="62" t="str">
        <f>IFERROR(VLOOKUP($D86,'Master Sheet'!$B:$AA,8,FALSE),"")</f>
        <v/>
      </c>
      <c r="M86" s="9"/>
    </row>
    <row r="87" spans="1:13" x14ac:dyDescent="0.25">
      <c r="A87" s="10"/>
      <c r="B87" s="31"/>
      <c r="C87" s="31"/>
      <c r="D87" s="32" t="s">
        <v>115</v>
      </c>
      <c r="E87" s="33"/>
      <c r="F87" s="2"/>
      <c r="G87" s="17" t="str">
        <f>IFERROR(VLOOKUP($D87,'Master Sheet'!$B:$AA,3,FALSE),"")</f>
        <v>Nikon NIKKOR Z 70-200mm f/2.8 VR S Lens</v>
      </c>
      <c r="H87" s="2"/>
      <c r="I87" s="2" t="str">
        <f>IFERROR(VLOOKUP($D87,'Master Sheet'!$B:$AA,2,FALSE),"")</f>
        <v>JMA709DA</v>
      </c>
      <c r="J87" s="34" t="str">
        <f>IFERROR(VLOOKUP($D87,'Master Sheet'!$B:$AA,5,FALSE),"")</f>
        <v>018208200917</v>
      </c>
      <c r="K87" s="35">
        <f>IFERROR(VLOOKUP($D87,'Master Sheet'!$B:$AA,8,FALSE),"")</f>
        <v>44612.955000000002</v>
      </c>
      <c r="M87" s="9"/>
    </row>
    <row r="88" spans="1:13" x14ac:dyDescent="0.25">
      <c r="A88" s="10"/>
      <c r="B88" s="31"/>
      <c r="C88" s="31"/>
      <c r="D88" s="32" t="s">
        <v>535</v>
      </c>
      <c r="E88" s="33"/>
      <c r="F88" s="2"/>
      <c r="G88" s="17" t="str">
        <f>IFERROR(VLOOKUP($D88,'Master Sheet'!$B:$AA,3,FALSE),"")</f>
        <v>77mm Z-Series Lens Cap</v>
      </c>
      <c r="H88" s="2"/>
      <c r="I88" s="2" t="str">
        <f>IFERROR(VLOOKUP($D88,'Master Sheet'!$B:$AA,2,FALSE),"")</f>
        <v>JMD00801</v>
      </c>
      <c r="J88" s="34" t="str">
        <f>IFERROR(VLOOKUP($D88,'Master Sheet'!$B:$AA,5,FALSE),"")</f>
        <v>4960759902238</v>
      </c>
      <c r="K88" s="35">
        <f>IFERROR(VLOOKUP($D88,'Master Sheet'!$B:$AA,8,FALSE),"")</f>
        <v>233.95499999999998</v>
      </c>
      <c r="M88" s="9"/>
    </row>
    <row r="89" spans="1:13" x14ac:dyDescent="0.25">
      <c r="A89" s="10"/>
      <c r="B89" s="31"/>
      <c r="C89" s="31"/>
      <c r="D89" s="32" t="s">
        <v>528</v>
      </c>
      <c r="E89" s="33"/>
      <c r="F89" s="2"/>
      <c r="G89" s="17" t="str">
        <f>IFERROR(VLOOKUP($D89,'Master Sheet'!$B:$AA,3,FALSE),"")</f>
        <v>LF-N1 Rear Lens Cap (Z-Series)</v>
      </c>
      <c r="H89" s="2"/>
      <c r="I89" s="2" t="str">
        <f>IFERROR(VLOOKUP($D89,'Master Sheet'!$B:$AA,2,FALSE),"")</f>
        <v>JMD00101</v>
      </c>
      <c r="J89" s="34" t="str">
        <f>IFERROR(VLOOKUP($D89,'Master Sheet'!$B:$AA,5,FALSE),"")</f>
        <v>018208041824</v>
      </c>
      <c r="K89" s="35">
        <f>IFERROR(VLOOKUP($D89,'Master Sheet'!$B:$AA,8,FALSE),"")</f>
        <v>107.955</v>
      </c>
      <c r="M89" s="9"/>
    </row>
    <row r="90" spans="1:13" x14ac:dyDescent="0.25">
      <c r="A90" s="10"/>
      <c r="B90" s="31"/>
      <c r="C90" s="31"/>
      <c r="D90" s="32" t="s">
        <v>63</v>
      </c>
      <c r="E90" s="33"/>
      <c r="F90" s="2"/>
      <c r="G90" s="17" t="str">
        <f>IFERROR(VLOOKUP($D90,'Master Sheet'!$B:$AA,3,FALSE),"")</f>
        <v>77MM FILTER NC NEUTRAL COLOUR</v>
      </c>
      <c r="H90" s="2"/>
      <c r="I90" s="2" t="str">
        <f>IFERROR(VLOOKUP($D90,'Master Sheet'!$B:$AA,2,FALSE),"")</f>
        <v>FTA60801</v>
      </c>
      <c r="J90" s="34" t="str">
        <f>IFERROR(VLOOKUP($D90,'Master Sheet'!$B:$AA,5,FALSE),"")</f>
        <v>018208024827</v>
      </c>
      <c r="K90" s="35">
        <f>IFERROR(VLOOKUP($D90,'Master Sheet'!$B:$AA,8,FALSE),"")</f>
        <v>1592.9550000000002</v>
      </c>
      <c r="M90" s="9"/>
    </row>
    <row r="91" spans="1:13" x14ac:dyDescent="0.25">
      <c r="A91" s="10"/>
      <c r="B91" s="31"/>
      <c r="C91" s="31"/>
      <c r="D91" s="32" t="s">
        <v>64</v>
      </c>
      <c r="E91" s="33"/>
      <c r="F91" s="2"/>
      <c r="G91" s="17" t="str">
        <f>IFERROR(VLOOKUP($D91,'Master Sheet'!$B:$AA,3,FALSE),"")</f>
        <v>77MM FILTER C-PL II</v>
      </c>
      <c r="H91" s="2"/>
      <c r="I91" s="2" t="str">
        <f>IFERROR(VLOOKUP($D91,'Master Sheet'!$B:$AA,2,FALSE),"")</f>
        <v>FTA61001</v>
      </c>
      <c r="J91" s="34" t="str">
        <f>IFERROR(VLOOKUP($D91,'Master Sheet'!$B:$AA,5,FALSE),"")</f>
        <v>018208022601</v>
      </c>
      <c r="K91" s="35">
        <f>IFERROR(VLOOKUP($D91,'Master Sheet'!$B:$AA,8,FALSE),"")</f>
        <v>3680.9549999999999</v>
      </c>
      <c r="M91" s="9"/>
    </row>
    <row r="92" spans="1:13" ht="13.5" thickBot="1" x14ac:dyDescent="0.3">
      <c r="A92" s="10"/>
      <c r="B92" s="31"/>
      <c r="C92" s="31"/>
      <c r="D92" s="32"/>
      <c r="E92" s="33"/>
      <c r="F92" s="2"/>
      <c r="G92" s="17" t="str">
        <f>IFERROR(VLOOKUP($D92,'Master Sheet'!$B:$AA,3,FALSE),"")</f>
        <v/>
      </c>
      <c r="H92" s="2"/>
      <c r="I92" s="2" t="str">
        <f>IFERROR(VLOOKUP($D92,'Master Sheet'!$B:$AA,2,FALSE),"")</f>
        <v/>
      </c>
      <c r="J92" s="34" t="str">
        <f>IFERROR(VLOOKUP($D92,'Master Sheet'!$B:$AA,5,FALSE),"")</f>
        <v/>
      </c>
      <c r="K92" s="35" t="str">
        <f>IFERROR(VLOOKUP($D92,'Master Sheet'!$B:$AA,8,FALSE),"")</f>
        <v/>
      </c>
      <c r="M92" s="9"/>
    </row>
    <row r="93" spans="1:13" ht="13.5" thickBot="1" x14ac:dyDescent="0.3">
      <c r="A93" s="10"/>
      <c r="B93" s="31"/>
      <c r="C93" s="46"/>
      <c r="D93" s="47" t="s">
        <v>483</v>
      </c>
      <c r="E93" s="48"/>
      <c r="F93" s="47"/>
      <c r="G93" s="49"/>
      <c r="H93" s="47"/>
      <c r="I93" s="47" t="s">
        <v>486</v>
      </c>
      <c r="J93" s="61"/>
      <c r="K93" s="62" t="str">
        <f>IFERROR(VLOOKUP($D93,'Master Sheet'!$B:$AA,8,FALSE),"")</f>
        <v/>
      </c>
      <c r="M93" s="9"/>
    </row>
    <row r="94" spans="1:13" x14ac:dyDescent="0.25">
      <c r="A94" s="10"/>
      <c r="B94" s="31"/>
      <c r="C94" s="31"/>
      <c r="D94" s="32" t="s">
        <v>484</v>
      </c>
      <c r="E94" s="33"/>
      <c r="F94" s="2"/>
      <c r="G94" s="17" t="str">
        <f>IFERROR(VLOOKUP($D94,'Master Sheet'!$B:$AA,3,FALSE),"")</f>
        <v>Nikon NIKKOR Z 100-400mm F4.5-5.6 VR S Lens</v>
      </c>
      <c r="H94" s="2"/>
      <c r="I94" s="2" t="str">
        <f>IFERROR(VLOOKUP($D94,'Master Sheet'!$B:$AA,2,FALSE),"")</f>
        <v>JMA716DA</v>
      </c>
      <c r="J94" s="34" t="str">
        <f>IFERROR(VLOOKUP($D94,'Master Sheet'!$B:$AA,5,FALSE),"")</f>
        <v>4960759911070</v>
      </c>
      <c r="K94" s="35">
        <f>IFERROR(VLOOKUP($D94,'Master Sheet'!$B:$AA,8,FALSE),"")</f>
        <v>50876.955000000002</v>
      </c>
      <c r="M94" s="9"/>
    </row>
    <row r="95" spans="1:13" x14ac:dyDescent="0.25">
      <c r="A95" s="10"/>
      <c r="B95" s="31"/>
      <c r="C95" s="31"/>
      <c r="D95" s="32" t="s">
        <v>535</v>
      </c>
      <c r="E95" s="33"/>
      <c r="F95" s="2"/>
      <c r="G95" s="17" t="str">
        <f>IFERROR(VLOOKUP($D95,'Master Sheet'!$B:$AA,3,FALSE),"")</f>
        <v>77mm Z-Series Lens Cap</v>
      </c>
      <c r="H95" s="2"/>
      <c r="I95" s="2" t="str">
        <f>IFERROR(VLOOKUP($D95,'Master Sheet'!$B:$AA,2,FALSE),"")</f>
        <v>JMD00801</v>
      </c>
      <c r="J95" s="34" t="str">
        <f>IFERROR(VLOOKUP($D95,'Master Sheet'!$B:$AA,5,FALSE),"")</f>
        <v>4960759902238</v>
      </c>
      <c r="K95" s="35">
        <f>IFERROR(VLOOKUP($D95,'Master Sheet'!$B:$AA,8,FALSE),"")</f>
        <v>233.95499999999998</v>
      </c>
      <c r="M95" s="9"/>
    </row>
    <row r="96" spans="1:13" x14ac:dyDescent="0.25">
      <c r="A96" s="10"/>
      <c r="B96" s="31"/>
      <c r="C96" s="31"/>
      <c r="D96" s="32" t="s">
        <v>528</v>
      </c>
      <c r="E96" s="33"/>
      <c r="F96" s="2"/>
      <c r="G96" s="17" t="str">
        <f>IFERROR(VLOOKUP($D96,'Master Sheet'!$B:$AA,3,FALSE),"")</f>
        <v>LF-N1 Rear Lens Cap (Z-Series)</v>
      </c>
      <c r="H96" s="2"/>
      <c r="I96" s="2" t="str">
        <f>IFERROR(VLOOKUP($D96,'Master Sheet'!$B:$AA,2,FALSE),"")</f>
        <v>JMD00101</v>
      </c>
      <c r="J96" s="34" t="str">
        <f>IFERROR(VLOOKUP($D96,'Master Sheet'!$B:$AA,5,FALSE),"")</f>
        <v>018208041824</v>
      </c>
      <c r="K96" s="35">
        <f>IFERROR(VLOOKUP($D96,'Master Sheet'!$B:$AA,8,FALSE),"")</f>
        <v>107.955</v>
      </c>
      <c r="M96" s="9"/>
    </row>
    <row r="97" spans="1:13" x14ac:dyDescent="0.25">
      <c r="A97" s="10"/>
      <c r="B97" s="31"/>
      <c r="C97" s="31"/>
      <c r="D97" s="32" t="s">
        <v>63</v>
      </c>
      <c r="E97" s="33"/>
      <c r="F97" s="2"/>
      <c r="G97" s="17" t="str">
        <f>IFERROR(VLOOKUP($D97,'Master Sheet'!$B:$AA,3,FALSE),"")</f>
        <v>77MM FILTER NC NEUTRAL COLOUR</v>
      </c>
      <c r="H97" s="2"/>
      <c r="I97" s="2" t="str">
        <f>IFERROR(VLOOKUP($D97,'Master Sheet'!$B:$AA,2,FALSE),"")</f>
        <v>FTA60801</v>
      </c>
      <c r="J97" s="34" t="str">
        <f>IFERROR(VLOOKUP($D97,'Master Sheet'!$B:$AA,5,FALSE),"")</f>
        <v>018208024827</v>
      </c>
      <c r="K97" s="35">
        <f>IFERROR(VLOOKUP($D97,'Master Sheet'!$B:$AA,8,FALSE),"")</f>
        <v>1592.9550000000002</v>
      </c>
      <c r="M97" s="9"/>
    </row>
    <row r="98" spans="1:13" x14ac:dyDescent="0.25">
      <c r="A98" s="10"/>
      <c r="B98" s="31"/>
      <c r="C98" s="31"/>
      <c r="D98" s="32" t="s">
        <v>64</v>
      </c>
      <c r="E98" s="33"/>
      <c r="F98" s="2"/>
      <c r="G98" s="17" t="str">
        <f>IFERROR(VLOOKUP($D98,'Master Sheet'!$B:$AA,3,FALSE),"")</f>
        <v>77MM FILTER C-PL II</v>
      </c>
      <c r="H98" s="2"/>
      <c r="I98" s="2" t="str">
        <f>IFERROR(VLOOKUP($D98,'Master Sheet'!$B:$AA,2,FALSE),"")</f>
        <v>FTA61001</v>
      </c>
      <c r="J98" s="34" t="str">
        <f>IFERROR(VLOOKUP($D98,'Master Sheet'!$B:$AA,5,FALSE),"")</f>
        <v>018208022601</v>
      </c>
      <c r="K98" s="35">
        <f>IFERROR(VLOOKUP($D98,'Master Sheet'!$B:$AA,8,FALSE),"")</f>
        <v>3680.9549999999999</v>
      </c>
      <c r="M98" s="9"/>
    </row>
    <row r="99" spans="1:13" ht="13.5" thickBot="1" x14ac:dyDescent="0.3">
      <c r="A99" s="10"/>
      <c r="B99" s="31"/>
      <c r="C99" s="31"/>
      <c r="D99" s="32"/>
      <c r="E99" s="33"/>
      <c r="F99" s="2"/>
      <c r="G99" s="17" t="str">
        <f>IFERROR(VLOOKUP($D99,'Master Sheet'!$B:$AA,3,FALSE),"")</f>
        <v/>
      </c>
      <c r="H99" s="2"/>
      <c r="I99" s="2" t="str">
        <f>IFERROR(VLOOKUP($D99,'Master Sheet'!$B:$AA,2,FALSE),"")</f>
        <v/>
      </c>
      <c r="J99" s="34" t="str">
        <f>IFERROR(VLOOKUP($D99,'Master Sheet'!$B:$AA,5,FALSE),"")</f>
        <v/>
      </c>
      <c r="K99" s="35" t="str">
        <f>IFERROR(VLOOKUP($D99,'Master Sheet'!$B:$AA,8,FALSE),"")</f>
        <v/>
      </c>
      <c r="M99" s="9"/>
    </row>
    <row r="100" spans="1:13" ht="13.5" thickBot="1" x14ac:dyDescent="0.3">
      <c r="A100" s="10"/>
      <c r="B100" s="31"/>
      <c r="C100" s="46"/>
      <c r="D100" s="47" t="s">
        <v>802</v>
      </c>
      <c r="E100" s="48"/>
      <c r="F100" s="47"/>
      <c r="G100" s="49" t="str">
        <f>IFERROR(VLOOKUP($D100,'Master Sheet'!$B:$AA,3,FALSE),"")</f>
        <v/>
      </c>
      <c r="H100" s="47"/>
      <c r="I100" s="47" t="s">
        <v>834</v>
      </c>
      <c r="J100" s="61"/>
      <c r="K100" s="62" t="str">
        <f>IFERROR(VLOOKUP($D100,'Master Sheet'!$B:$AA,8,FALSE),"")</f>
        <v/>
      </c>
      <c r="M100" s="9"/>
    </row>
    <row r="101" spans="1:13" x14ac:dyDescent="0.25">
      <c r="A101" s="10"/>
      <c r="B101" s="31"/>
      <c r="C101" s="31"/>
      <c r="D101" s="32" t="s">
        <v>710</v>
      </c>
      <c r="E101" s="33"/>
      <c r="F101" s="2"/>
      <c r="G101" s="17" t="str">
        <f>IFERROR(VLOOKUP($D101,'Master Sheet'!$B:$AA,3,FALSE),"")</f>
        <v>Nikon NIKKOR Z 180-600mm f/5.6-6.3 VR Lens</v>
      </c>
      <c r="H101" s="2"/>
      <c r="I101" s="2" t="str">
        <f>IFERROR(VLOOKUP($D101,'Master Sheet'!$B:$AA,2,FALSE),"")</f>
        <v>JMA720DA</v>
      </c>
      <c r="J101" s="34" t="str">
        <f>IFERROR(VLOOKUP($D101,'Master Sheet'!$B:$AA,5,FALSE),"")</f>
        <v>018208201174</v>
      </c>
      <c r="K101" s="35">
        <f>IFERROR(VLOOKUP($D101,'Master Sheet'!$B:$AA,8,FALSE),"")</f>
        <v>33650.955000000002</v>
      </c>
      <c r="M101" s="9"/>
    </row>
    <row r="102" spans="1:13" x14ac:dyDescent="0.25">
      <c r="A102" s="10"/>
      <c r="B102" s="31"/>
      <c r="C102" s="31"/>
      <c r="D102" s="32" t="s">
        <v>588</v>
      </c>
      <c r="E102" s="33"/>
      <c r="F102" s="2"/>
      <c r="G102" s="17" t="str">
        <f>IFERROR(VLOOKUP($D102,'Master Sheet'!$B:$AA,3,FALSE),"")</f>
        <v>95mm Z-Series Lens Cap</v>
      </c>
      <c r="H102" s="2"/>
      <c r="I102" s="2" t="str">
        <f>IFERROR(VLOOKUP($D102,'Master Sheet'!$B:$AA,2,FALSE),"")</f>
        <v>JMD01601</v>
      </c>
      <c r="J102" s="34" t="str">
        <f>IFERROR(VLOOKUP($D102,'Master Sheet'!$B:$AA,5,FALSE),"")</f>
        <v>018208042715</v>
      </c>
      <c r="K102" s="35">
        <f>IFERROR(VLOOKUP($D102,'Master Sheet'!$B:$AA,8,FALSE),"")</f>
        <v>359.95499999999998</v>
      </c>
      <c r="M102" s="9"/>
    </row>
    <row r="103" spans="1:13" x14ac:dyDescent="0.25">
      <c r="A103" s="10"/>
      <c r="B103" s="31"/>
      <c r="C103" s="31"/>
      <c r="D103" s="32" t="s">
        <v>528</v>
      </c>
      <c r="E103" s="33"/>
      <c r="F103" s="2"/>
      <c r="G103" s="17" t="str">
        <f>IFERROR(VLOOKUP($D103,'Master Sheet'!$B:$AA,3,FALSE),"")</f>
        <v>LF-N1 Rear Lens Cap (Z-Series)</v>
      </c>
      <c r="H103" s="2"/>
      <c r="I103" s="2" t="str">
        <f>IFERROR(VLOOKUP($D103,'Master Sheet'!$B:$AA,2,FALSE),"")</f>
        <v>JMD00101</v>
      </c>
      <c r="J103" s="34" t="str">
        <f>IFERROR(VLOOKUP($D103,'Master Sheet'!$B:$AA,5,FALSE),"")</f>
        <v>018208041824</v>
      </c>
      <c r="K103" s="35">
        <f>IFERROR(VLOOKUP($D103,'Master Sheet'!$B:$AA,8,FALSE),"")</f>
        <v>107.955</v>
      </c>
      <c r="M103" s="9"/>
    </row>
    <row r="104" spans="1:13" x14ac:dyDescent="0.25">
      <c r="A104" s="10"/>
      <c r="B104" s="31"/>
      <c r="C104" s="31"/>
      <c r="D104" s="32" t="s">
        <v>87</v>
      </c>
      <c r="E104" s="33"/>
      <c r="F104" s="2"/>
      <c r="G104" s="17" t="str">
        <f>IFERROR(VLOOKUP($D104,'Master Sheet'!$B:$AA,3,FALSE),"")</f>
        <v xml:space="preserve">95MM FILTER NC NEUTRAL COLOUR </v>
      </c>
      <c r="H104" s="2"/>
      <c r="I104" s="2" t="str">
        <f>IFERROR(VLOOKUP($D104,'Master Sheet'!$B:$AA,2,FALSE),"")</f>
        <v>FTA70601</v>
      </c>
      <c r="J104" s="34" t="str">
        <f>IFERROR(VLOOKUP($D104,'Master Sheet'!$B:$AA,5,FALSE),"")</f>
        <v>018208025084</v>
      </c>
      <c r="K104" s="35">
        <f>IFERROR(VLOOKUP($D104,'Master Sheet'!$B:$AA,8,FALSE),"")</f>
        <v>3176.9549999999999</v>
      </c>
      <c r="M104" s="9"/>
    </row>
    <row r="105" spans="1:13" x14ac:dyDescent="0.25">
      <c r="A105" s="10"/>
      <c r="B105" s="31"/>
      <c r="C105" s="31"/>
      <c r="D105" s="32" t="s">
        <v>80</v>
      </c>
      <c r="E105" s="33"/>
      <c r="F105" s="2"/>
      <c r="G105" s="17" t="str">
        <f>IFERROR(VLOOKUP($D105,'Master Sheet'!$B:$AA,3,FALSE),"")</f>
        <v xml:space="preserve">95MM FILTER C-PL II             </v>
      </c>
      <c r="H105" s="2"/>
      <c r="I105" s="2" t="str">
        <f>IFERROR(VLOOKUP($D105,'Master Sheet'!$B:$AA,2,FALSE),"")</f>
        <v>FTA70701</v>
      </c>
      <c r="J105" s="34" t="str">
        <f>IFERROR(VLOOKUP($D105,'Master Sheet'!$B:$AA,5,FALSE),"")</f>
        <v>018208025091</v>
      </c>
      <c r="K105" s="35">
        <f>IFERROR(VLOOKUP($D105,'Master Sheet'!$B:$AA,8,FALSE),"")</f>
        <v>8477.9550000000017</v>
      </c>
      <c r="M105" s="9"/>
    </row>
    <row r="106" spans="1:13" x14ac:dyDescent="0.25">
      <c r="A106" s="10"/>
      <c r="B106" s="31"/>
      <c r="C106" s="31"/>
      <c r="D106" s="32"/>
      <c r="E106" s="33"/>
      <c r="F106" s="2"/>
      <c r="G106" s="17" t="str">
        <f>IFERROR(VLOOKUP($D106,'Master Sheet'!$B:$AA,3,FALSE),"")</f>
        <v/>
      </c>
      <c r="H106" s="2"/>
      <c r="I106" s="2" t="str">
        <f>IFERROR(VLOOKUP($D106,'Master Sheet'!$B:$AA,2,FALSE),"")</f>
        <v/>
      </c>
      <c r="J106" s="34" t="str">
        <f>IFERROR(VLOOKUP($D106,'Master Sheet'!$B:$AA,5,FALSE),"")</f>
        <v/>
      </c>
      <c r="K106" s="35" t="str">
        <f>IFERROR(VLOOKUP($D106,'Master Sheet'!$B:$AA,8,FALSE),"")</f>
        <v/>
      </c>
      <c r="M106" s="9"/>
    </row>
    <row r="107" spans="1:13" x14ac:dyDescent="0.25">
      <c r="A107" s="10"/>
      <c r="B107" s="31"/>
      <c r="C107" s="31"/>
      <c r="D107" s="32"/>
      <c r="E107" s="33"/>
      <c r="F107" s="2"/>
      <c r="G107" s="17" t="str">
        <f>IFERROR(VLOOKUP($D107,'Master Sheet'!$B:$AA,3,FALSE),"")</f>
        <v/>
      </c>
      <c r="H107" s="2"/>
      <c r="I107" s="2" t="str">
        <f>IFERROR(VLOOKUP($D107,'Master Sheet'!$B:$AA,2,FALSE),"")</f>
        <v/>
      </c>
      <c r="J107" s="34" t="str">
        <f>IFERROR(VLOOKUP($D107,'Master Sheet'!$B:$AA,5,FALSE),"")</f>
        <v/>
      </c>
      <c r="K107" s="35" t="str">
        <f>IFERROR(VLOOKUP($D107,'Master Sheet'!$B:$AA,8,FALSE),"")</f>
        <v/>
      </c>
      <c r="M107" s="9"/>
    </row>
    <row r="108" spans="1:13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</sheetData>
  <mergeCells count="2">
    <mergeCell ref="G16:K16"/>
    <mergeCell ref="G61:K61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DEDE-0347-4EC0-A0BB-74670D1EE384}">
  <sheetPr>
    <pageSetUpPr fitToPage="1"/>
  </sheetPr>
  <dimension ref="A1:M31"/>
  <sheetViews>
    <sheetView showGridLines="0" showRowColHeaders="0" zoomScale="85" zoomScaleNormal="85" workbookViewId="0">
      <selection activeCell="K18" sqref="K18"/>
    </sheetView>
  </sheetViews>
  <sheetFormatPr defaultColWidth="8.85546875" defaultRowHeight="12.75" x14ac:dyDescent="0.25"/>
  <cols>
    <col min="1" max="3" width="3.42578125" style="5" customWidth="1"/>
    <col min="4" max="4" width="16.85546875" style="2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11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32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31"/>
      <c r="D3" s="32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32"/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31"/>
      <c r="D5" s="32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32"/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31"/>
      <c r="D7" s="32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1"/>
      <c r="D8" s="32"/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32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31"/>
      <c r="D10" s="32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31"/>
      <c r="D11" s="32"/>
      <c r="E11" s="36"/>
      <c r="F11" s="8"/>
      <c r="G11" s="22"/>
      <c r="H11" s="8"/>
      <c r="J11" s="34"/>
      <c r="K11" s="35"/>
      <c r="M11" s="9"/>
    </row>
    <row r="12" spans="1:13" x14ac:dyDescent="0.25">
      <c r="A12" s="10"/>
      <c r="B12" s="31"/>
      <c r="C12" s="31"/>
      <c r="D12" s="32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31"/>
      <c r="D13" s="32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32"/>
      <c r="E14" s="36"/>
      <c r="F14" s="8"/>
      <c r="G14" s="22"/>
      <c r="H14" s="8"/>
      <c r="J14" s="34"/>
      <c r="K14" s="35"/>
      <c r="M14" s="9"/>
    </row>
    <row r="15" spans="1:13" ht="13.5" thickBot="1" x14ac:dyDescent="0.3">
      <c r="A15" s="10"/>
      <c r="B15" s="31"/>
      <c r="C15" s="31"/>
      <c r="D15" s="32"/>
      <c r="E15" s="36"/>
      <c r="F15" s="8"/>
      <c r="G15" s="22"/>
      <c r="H15" s="8"/>
      <c r="J15" s="34"/>
      <c r="K15" s="35"/>
      <c r="M15" s="9"/>
    </row>
    <row r="16" spans="1:13" ht="15" customHeight="1" thickBot="1" x14ac:dyDescent="0.3">
      <c r="A16" s="10"/>
      <c r="B16" s="31"/>
      <c r="C16" s="31"/>
      <c r="D16" s="32"/>
      <c r="E16" s="36"/>
      <c r="F16" s="8"/>
      <c r="G16" s="96"/>
      <c r="H16" s="97"/>
      <c r="I16" s="97"/>
      <c r="J16" s="97"/>
      <c r="K16" s="98"/>
      <c r="M16" s="9"/>
    </row>
    <row r="17" spans="1:13" ht="13.5" thickBot="1" x14ac:dyDescent="0.3">
      <c r="A17" s="10"/>
      <c r="B17" s="31"/>
      <c r="C17" s="31"/>
      <c r="D17" s="38"/>
      <c r="E17" s="36"/>
      <c r="F17" s="8"/>
      <c r="G17" s="22"/>
      <c r="H17" s="8"/>
      <c r="J17" s="34"/>
      <c r="K17" s="35"/>
      <c r="M17" s="9"/>
    </row>
    <row r="18" spans="1:13" ht="13.5" thickBot="1" x14ac:dyDescent="0.3">
      <c r="A18" s="10"/>
      <c r="B18" s="31"/>
      <c r="C18" s="39" t="s">
        <v>48</v>
      </c>
      <c r="D18" s="40"/>
      <c r="E18" s="40"/>
      <c r="F18" s="55"/>
      <c r="G18" s="41" t="s">
        <v>643</v>
      </c>
      <c r="H18" s="55"/>
      <c r="I18" s="42" t="s">
        <v>52</v>
      </c>
      <c r="J18" s="43" t="s">
        <v>47</v>
      </c>
      <c r="K18" s="56" t="s">
        <v>943</v>
      </c>
      <c r="M18" s="9"/>
    </row>
    <row r="19" spans="1:13" ht="13.5" thickBot="1" x14ac:dyDescent="0.3">
      <c r="A19" s="10"/>
      <c r="B19" s="31"/>
      <c r="C19" s="31"/>
      <c r="D19" s="32"/>
      <c r="E19" s="33"/>
      <c r="F19" s="2"/>
      <c r="H19" s="2"/>
      <c r="J19" s="34"/>
      <c r="K19" s="35"/>
      <c r="M19" s="9"/>
    </row>
    <row r="20" spans="1:13" ht="13.5" thickBot="1" x14ac:dyDescent="0.3">
      <c r="A20" s="10"/>
      <c r="B20" s="31"/>
      <c r="C20" s="46"/>
      <c r="D20" s="47" t="s">
        <v>374</v>
      </c>
      <c r="E20" s="48"/>
      <c r="F20" s="47"/>
      <c r="G20" s="49"/>
      <c r="H20" s="47"/>
      <c r="I20" s="47"/>
      <c r="J20" s="61"/>
      <c r="K20" s="62"/>
      <c r="M20" s="9"/>
    </row>
    <row r="21" spans="1:13" x14ac:dyDescent="0.25">
      <c r="A21" s="10"/>
      <c r="B21" s="31"/>
      <c r="C21" s="31"/>
      <c r="D21" s="32" t="s">
        <v>370</v>
      </c>
      <c r="E21" s="33"/>
      <c r="F21" s="2"/>
      <c r="G21" s="17" t="str">
        <f>IFERROR(VLOOKUP($D21,'Master Sheet'!$B:$AA,3,FALSE),"")</f>
        <v>Nikon NIKKOR Z 1.4x Tele Converter</v>
      </c>
      <c r="H21" s="2"/>
      <c r="I21" s="2" t="str">
        <f>IFERROR(VLOOKUP($D21,'Master Sheet'!$B:$AA,2,FALSE),"")</f>
        <v>JMA903DA</v>
      </c>
      <c r="J21" s="34" t="str">
        <f>IFERROR(VLOOKUP($D21,'Master Sheet'!$B:$AA,5,FALSE),"")</f>
        <v>018208200986</v>
      </c>
      <c r="K21" s="35">
        <f>IFERROR(VLOOKUP($D21,'Master Sheet'!$B:$AA,8,FALSE),"")</f>
        <v>10961.955000000002</v>
      </c>
      <c r="M21" s="9"/>
    </row>
    <row r="22" spans="1:13" x14ac:dyDescent="0.25">
      <c r="A22" s="10"/>
      <c r="B22" s="31"/>
      <c r="C22" s="31"/>
      <c r="D22" s="32" t="s">
        <v>389</v>
      </c>
      <c r="E22" s="33"/>
      <c r="F22" s="2"/>
      <c r="G22" s="17" t="str">
        <f>IFERROR(VLOOKUP($D22,'Master Sheet'!$B:$AA,3,FALSE),"")</f>
        <v>BF-N2 Teleconverter Cap (Z-Series)</v>
      </c>
      <c r="H22" s="2"/>
      <c r="I22" s="2" t="str">
        <f>IFERROR(VLOOKUP($D22,'Master Sheet'!$B:$AA,2,FALSE),"")</f>
        <v>JMD01201</v>
      </c>
      <c r="J22" s="34" t="str">
        <f>IFERROR(VLOOKUP($D22,'Master Sheet'!$B:$AA,5,FALSE),"")</f>
        <v>018208042500</v>
      </c>
      <c r="K22" s="35">
        <f>IFERROR(VLOOKUP($D22,'Master Sheet'!$B:$AA,8,FALSE),"")</f>
        <v>125.955</v>
      </c>
      <c r="M22" s="9"/>
    </row>
    <row r="23" spans="1:13" x14ac:dyDescent="0.25">
      <c r="A23" s="10"/>
      <c r="B23" s="31"/>
      <c r="C23" s="31"/>
      <c r="D23" s="32" t="s">
        <v>528</v>
      </c>
      <c r="E23" s="33"/>
      <c r="F23" s="2"/>
      <c r="G23" s="17" t="str">
        <f>IFERROR(VLOOKUP($D23,'Master Sheet'!$B:$AA,3,FALSE),"")</f>
        <v>LF-N1 Rear Lens Cap (Z-Series)</v>
      </c>
      <c r="H23" s="2"/>
      <c r="I23" s="2" t="str">
        <f>IFERROR(VLOOKUP($D23,'Master Sheet'!$B:$AA,2,FALSE),"")</f>
        <v>JMD00101</v>
      </c>
      <c r="J23" s="34" t="str">
        <f>IFERROR(VLOOKUP($D23,'Master Sheet'!$B:$AA,5,FALSE),"")</f>
        <v>018208041824</v>
      </c>
      <c r="K23" s="35">
        <f>IFERROR(VLOOKUP($D23,'Master Sheet'!$B:$AA,8,FALSE),"")</f>
        <v>107.955</v>
      </c>
      <c r="M23" s="9"/>
    </row>
    <row r="24" spans="1:13" ht="13.5" thickBot="1" x14ac:dyDescent="0.3">
      <c r="A24" s="10"/>
      <c r="B24" s="31"/>
      <c r="C24" s="31"/>
      <c r="D24" s="32"/>
      <c r="E24" s="33"/>
      <c r="F24" s="2"/>
      <c r="G24" s="17" t="str">
        <f>IFERROR(VLOOKUP($D24,'Master Sheet'!$B:$AA,3,FALSE),"")</f>
        <v/>
      </c>
      <c r="H24" s="2"/>
      <c r="I24" s="2" t="str">
        <f>IFERROR(VLOOKUP($D24,'Master Sheet'!$B:$AA,2,FALSE),"")</f>
        <v/>
      </c>
      <c r="J24" s="34" t="str">
        <f>IFERROR(VLOOKUP($D24,'Master Sheet'!$B:$AA,5,FALSE),"")</f>
        <v/>
      </c>
      <c r="K24" s="35" t="str">
        <f>IFERROR(VLOOKUP($D24,'Master Sheet'!$B:$AA,8,FALSE),"")</f>
        <v/>
      </c>
      <c r="M24" s="9"/>
    </row>
    <row r="25" spans="1:13" ht="13.5" thickBot="1" x14ac:dyDescent="0.3">
      <c r="A25" s="10"/>
      <c r="B25" s="31"/>
      <c r="C25" s="46"/>
      <c r="D25" s="47" t="s">
        <v>373</v>
      </c>
      <c r="E25" s="48"/>
      <c r="F25" s="47"/>
      <c r="G25" s="49" t="str">
        <f>IFERROR(VLOOKUP($D25,'Master Sheet'!$B:$AA,3,FALSE),"")</f>
        <v/>
      </c>
      <c r="H25" s="47"/>
      <c r="I25" s="47" t="str">
        <f>IFERROR(VLOOKUP($D25,'Master Sheet'!$B:$AA,2,FALSE),"")</f>
        <v/>
      </c>
      <c r="J25" s="61" t="str">
        <f>IFERROR(VLOOKUP($D25,'Master Sheet'!$B:$AA,5,FALSE),"")</f>
        <v/>
      </c>
      <c r="K25" s="62" t="str">
        <f>IFERROR(VLOOKUP($D25,'Master Sheet'!$B:$AA,8,FALSE),"")</f>
        <v/>
      </c>
      <c r="M25" s="9"/>
    </row>
    <row r="26" spans="1:13" x14ac:dyDescent="0.25">
      <c r="A26" s="10"/>
      <c r="B26" s="31"/>
      <c r="C26" s="31"/>
      <c r="D26" s="32" t="s">
        <v>371</v>
      </c>
      <c r="E26" s="33"/>
      <c r="F26" s="2"/>
      <c r="G26" s="17" t="str">
        <f>IFERROR(VLOOKUP($D26,'Master Sheet'!$B:$AA,3,FALSE),"")</f>
        <v>Nikon NIKKOR Z 2.0x Tele Converter</v>
      </c>
      <c r="H26" s="2"/>
      <c r="I26" s="2" t="str">
        <f>IFERROR(VLOOKUP($D26,'Master Sheet'!$B:$AA,2,FALSE),"")</f>
        <v>JMA904DA</v>
      </c>
      <c r="J26" s="34" t="str">
        <f>IFERROR(VLOOKUP($D26,'Master Sheet'!$B:$AA,5,FALSE),"")</f>
        <v>018208200993</v>
      </c>
      <c r="K26" s="35">
        <f>IFERROR(VLOOKUP($D26,'Master Sheet'!$B:$AA,8,FALSE),"")</f>
        <v>11744.955000000002</v>
      </c>
      <c r="M26" s="9"/>
    </row>
    <row r="27" spans="1:13" x14ac:dyDescent="0.25">
      <c r="A27" s="10"/>
      <c r="B27" s="31"/>
      <c r="C27" s="31"/>
      <c r="D27" s="32" t="s">
        <v>389</v>
      </c>
      <c r="E27" s="33"/>
      <c r="F27" s="2"/>
      <c r="G27" s="17" t="str">
        <f>IFERROR(VLOOKUP($D27,'Master Sheet'!$B:$AA,3,FALSE),"")</f>
        <v>BF-N2 Teleconverter Cap (Z-Series)</v>
      </c>
      <c r="H27" s="2"/>
      <c r="I27" s="2" t="str">
        <f>IFERROR(VLOOKUP($D27,'Master Sheet'!$B:$AA,2,FALSE),"")</f>
        <v>JMD01201</v>
      </c>
      <c r="J27" s="34" t="str">
        <f>IFERROR(VLOOKUP($D27,'Master Sheet'!$B:$AA,5,FALSE),"")</f>
        <v>018208042500</v>
      </c>
      <c r="K27" s="35">
        <f>IFERROR(VLOOKUP($D27,'Master Sheet'!$B:$AA,8,FALSE),"")</f>
        <v>125.955</v>
      </c>
      <c r="M27" s="9"/>
    </row>
    <row r="28" spans="1:13" x14ac:dyDescent="0.25">
      <c r="A28" s="10"/>
      <c r="B28" s="31"/>
      <c r="C28" s="31"/>
      <c r="D28" s="32" t="s">
        <v>528</v>
      </c>
      <c r="E28" s="33"/>
      <c r="F28" s="2"/>
      <c r="G28" s="17" t="str">
        <f>IFERROR(VLOOKUP($D28,'Master Sheet'!$B:$AA,3,FALSE),"")</f>
        <v>LF-N1 Rear Lens Cap (Z-Series)</v>
      </c>
      <c r="H28" s="2"/>
      <c r="I28" s="2" t="str">
        <f>IFERROR(VLOOKUP($D28,'Master Sheet'!$B:$AA,2,FALSE),"")</f>
        <v>JMD00101</v>
      </c>
      <c r="J28" s="34" t="str">
        <f>IFERROR(VLOOKUP($D28,'Master Sheet'!$B:$AA,5,FALSE),"")</f>
        <v>018208041824</v>
      </c>
      <c r="K28" s="35">
        <f>IFERROR(VLOOKUP($D28,'Master Sheet'!$B:$AA,8,FALSE),"")</f>
        <v>107.955</v>
      </c>
      <c r="M28" s="9"/>
    </row>
    <row r="29" spans="1:13" x14ac:dyDescent="0.25">
      <c r="A29" s="10"/>
      <c r="B29" s="31"/>
      <c r="C29" s="31"/>
      <c r="D29" s="32"/>
      <c r="E29" s="33"/>
      <c r="F29" s="2"/>
      <c r="G29" s="17" t="str">
        <f>IFERROR(VLOOKUP($D29,'Master Sheet'!$B:$AA,3,FALSE),"")</f>
        <v/>
      </c>
      <c r="H29" s="2"/>
      <c r="I29" s="2" t="str">
        <f>IFERROR(VLOOKUP($D29,'Master Sheet'!$B:$AA,2,FALSE),"")</f>
        <v/>
      </c>
      <c r="J29" s="34" t="str">
        <f>IFERROR(VLOOKUP($D29,'Master Sheet'!$B:$AA,5,FALSE),"")</f>
        <v/>
      </c>
      <c r="K29" s="35" t="str">
        <f>IFERROR(VLOOKUP($D29,'Master Sheet'!$B:$AA,8,FALSE),"")</f>
        <v/>
      </c>
      <c r="M29" s="9"/>
    </row>
    <row r="30" spans="1:13" x14ac:dyDescent="0.25">
      <c r="A30" s="10"/>
      <c r="B30" s="31"/>
      <c r="C30" s="31"/>
      <c r="D30" s="32"/>
      <c r="E30" s="33"/>
      <c r="F30" s="2"/>
      <c r="G30" s="17" t="str">
        <f>IFERROR(VLOOKUP($D30,'Master Sheet'!$B:$AA,3,FALSE),"")</f>
        <v/>
      </c>
      <c r="H30" s="2"/>
      <c r="I30" s="2" t="str">
        <f>IFERROR(VLOOKUP($D30,'Master Sheet'!$B:$AA,2,FALSE),"")</f>
        <v/>
      </c>
      <c r="J30" s="34" t="str">
        <f>IFERROR(VLOOKUP($D30,'Master Sheet'!$B:$AA,5,FALSE),"")</f>
        <v/>
      </c>
      <c r="K30" s="35" t="str">
        <f>IFERROR(VLOOKUP($D30,'Master Sheet'!$B:$AA,8,FALSE),"")</f>
        <v/>
      </c>
      <c r="M30" s="9"/>
    </row>
    <row r="31" spans="1:13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</sheetData>
  <mergeCells count="1">
    <mergeCell ref="G16:K16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F1FB-96D4-4CAB-AB8B-92808D6872F9}">
  <sheetPr>
    <pageSetUpPr fitToPage="1"/>
  </sheetPr>
  <dimension ref="A1:M113"/>
  <sheetViews>
    <sheetView showGridLines="0" showRowColHeaders="0" zoomScale="85" zoomScaleNormal="85" workbookViewId="0">
      <selection activeCell="K18" sqref="K18"/>
    </sheetView>
  </sheetViews>
  <sheetFormatPr defaultColWidth="8.85546875" defaultRowHeight="12.75" x14ac:dyDescent="0.25"/>
  <cols>
    <col min="1" max="3" width="3.42578125" style="5" customWidth="1"/>
    <col min="4" max="4" width="16.85546875" style="2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11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32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31"/>
      <c r="D3" s="32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32"/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31"/>
      <c r="D5" s="32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32"/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31"/>
      <c r="D7" s="32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1"/>
      <c r="D8" s="32"/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32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31"/>
      <c r="D10" s="32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31"/>
      <c r="D11" s="32"/>
      <c r="E11" s="36"/>
      <c r="F11" s="8"/>
      <c r="G11" s="22"/>
      <c r="H11" s="8"/>
      <c r="J11" s="34"/>
      <c r="K11" s="35"/>
      <c r="M11" s="9"/>
    </row>
    <row r="12" spans="1:13" x14ac:dyDescent="0.25">
      <c r="A12" s="10"/>
      <c r="B12" s="31"/>
      <c r="C12" s="31"/>
      <c r="D12" s="32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31"/>
      <c r="D13" s="32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32"/>
      <c r="E14" s="36"/>
      <c r="F14" s="8"/>
      <c r="G14" s="22"/>
      <c r="H14" s="8"/>
      <c r="J14" s="34"/>
      <c r="K14" s="35"/>
      <c r="M14" s="9"/>
    </row>
    <row r="15" spans="1:13" ht="13.5" thickBot="1" x14ac:dyDescent="0.3">
      <c r="A15" s="10"/>
      <c r="B15" s="31"/>
      <c r="C15" s="31"/>
      <c r="D15" s="32"/>
      <c r="E15" s="36"/>
      <c r="F15" s="8"/>
      <c r="G15" s="22"/>
      <c r="H15" s="8"/>
      <c r="J15" s="34"/>
      <c r="K15" s="35"/>
      <c r="M15" s="9"/>
    </row>
    <row r="16" spans="1:13" ht="15" customHeight="1" thickBot="1" x14ac:dyDescent="0.3">
      <c r="A16" s="10"/>
      <c r="B16" s="31"/>
      <c r="C16" s="31"/>
      <c r="D16" s="32"/>
      <c r="E16" s="36"/>
      <c r="F16" s="8"/>
      <c r="G16" s="96" t="s">
        <v>53</v>
      </c>
      <c r="H16" s="97"/>
      <c r="I16" s="97"/>
      <c r="J16" s="97"/>
      <c r="K16" s="98"/>
      <c r="M16" s="9"/>
    </row>
    <row r="17" spans="1:13" ht="13.5" thickBot="1" x14ac:dyDescent="0.3">
      <c r="A17" s="10"/>
      <c r="B17" s="31"/>
      <c r="C17" s="31"/>
      <c r="D17" s="38"/>
      <c r="E17" s="36"/>
      <c r="F17" s="8"/>
      <c r="G17" s="22"/>
      <c r="H17" s="8"/>
      <c r="J17" s="34"/>
      <c r="K17" s="35"/>
      <c r="M17" s="9"/>
    </row>
    <row r="18" spans="1:13" ht="13.5" thickBot="1" x14ac:dyDescent="0.3">
      <c r="A18" s="10"/>
      <c r="B18" s="31"/>
      <c r="C18" s="39" t="s">
        <v>48</v>
      </c>
      <c r="D18" s="40"/>
      <c r="E18" s="40"/>
      <c r="F18" s="55"/>
      <c r="G18" s="41" t="s">
        <v>643</v>
      </c>
      <c r="H18" s="55"/>
      <c r="I18" s="42" t="s">
        <v>52</v>
      </c>
      <c r="J18" s="43" t="s">
        <v>47</v>
      </c>
      <c r="K18" s="56" t="s">
        <v>943</v>
      </c>
      <c r="M18" s="9"/>
    </row>
    <row r="19" spans="1:13" ht="13.5" thickBot="1" x14ac:dyDescent="0.3">
      <c r="A19" s="10"/>
      <c r="B19" s="31"/>
      <c r="C19" s="31"/>
      <c r="D19" s="32"/>
      <c r="E19" s="33"/>
      <c r="F19" s="2"/>
      <c r="H19" s="2"/>
      <c r="J19" s="34"/>
      <c r="K19" s="35"/>
      <c r="M19" s="9"/>
    </row>
    <row r="20" spans="1:13" ht="15" customHeight="1" thickBot="1" x14ac:dyDescent="0.3">
      <c r="A20" s="10"/>
      <c r="B20" s="31"/>
      <c r="C20" s="31"/>
      <c r="D20" s="32"/>
      <c r="E20" s="36"/>
      <c r="F20" s="8"/>
      <c r="G20" s="96" t="s">
        <v>54</v>
      </c>
      <c r="H20" s="97"/>
      <c r="I20" s="97"/>
      <c r="J20" s="97"/>
      <c r="K20" s="98"/>
      <c r="M20" s="9"/>
    </row>
    <row r="21" spans="1:13" x14ac:dyDescent="0.25">
      <c r="A21" s="10"/>
      <c r="B21" s="31"/>
      <c r="C21" s="31"/>
      <c r="D21" s="32"/>
      <c r="E21" s="33"/>
      <c r="F21" s="2"/>
      <c r="H21" s="2"/>
      <c r="J21" s="34"/>
      <c r="K21" s="35"/>
      <c r="M21" s="9"/>
    </row>
    <row r="22" spans="1:13" ht="25.5" x14ac:dyDescent="0.25">
      <c r="A22" s="10"/>
      <c r="B22" s="31"/>
      <c r="C22" s="31"/>
      <c r="D22" s="32" t="s">
        <v>10</v>
      </c>
      <c r="E22" s="33"/>
      <c r="F22" s="2"/>
      <c r="G22" s="17" t="str">
        <f>IFERROR(VLOOKUP($D22,'Master Sheet'!$B:$AA,3,FALSE),"")</f>
        <v>SB-5000 SPEEDLIGHT UNIT (GUIDE NR= 34.5/ 24-200MM COVERAGE)</v>
      </c>
      <c r="H22" s="2"/>
      <c r="I22" s="2" t="str">
        <f>IFERROR(VLOOKUP($D22,'Master Sheet'!$B:$AA,2,FALSE),"")</f>
        <v>FSA043AG</v>
      </c>
      <c r="J22" s="34" t="str">
        <f>IFERROR(VLOOKUP($D22,'Master Sheet'!$B:$AA,5,FALSE),"")</f>
        <v>018208950157</v>
      </c>
      <c r="K22" s="35">
        <f>IFERROR(VLOOKUP($D22,'Master Sheet'!$B:$AA,8,FALSE),"")</f>
        <v>8999.9550000000017</v>
      </c>
      <c r="M22" s="9"/>
    </row>
    <row r="23" spans="1:13" ht="13.5" thickBot="1" x14ac:dyDescent="0.3">
      <c r="A23" s="10"/>
      <c r="B23" s="31"/>
      <c r="C23" s="31"/>
      <c r="D23" s="38"/>
      <c r="E23" s="36"/>
      <c r="F23" s="8"/>
      <c r="G23" s="22"/>
      <c r="H23" s="8"/>
      <c r="J23" s="34"/>
      <c r="K23" s="35"/>
      <c r="M23" s="9"/>
    </row>
    <row r="24" spans="1:13" ht="13.5" thickBot="1" x14ac:dyDescent="0.3">
      <c r="A24" s="10"/>
      <c r="B24" s="31"/>
      <c r="C24" s="46"/>
      <c r="D24" s="47" t="s">
        <v>293</v>
      </c>
      <c r="E24" s="48"/>
      <c r="F24" s="47"/>
      <c r="G24" s="49"/>
      <c r="H24" s="47"/>
      <c r="I24" s="47"/>
      <c r="J24" s="61"/>
      <c r="K24" s="62"/>
      <c r="M24" s="9"/>
    </row>
    <row r="25" spans="1:13" x14ac:dyDescent="0.25">
      <c r="A25" s="10"/>
      <c r="B25" s="31"/>
      <c r="C25" s="31"/>
      <c r="D25" s="32" t="s">
        <v>84</v>
      </c>
      <c r="E25" s="33"/>
      <c r="F25" s="2"/>
      <c r="G25" s="17" t="str">
        <f>IFERROR(VLOOKUP($D25,'Master Sheet'!$B:$AA,3,FALSE),"")</f>
        <v>GREY CARD</v>
      </c>
      <c r="H25" s="2"/>
      <c r="I25" s="2" t="str">
        <f>IFERROR(VLOOKUP($D25,'Master Sheet'!$B:$AA,2,FALSE),"")</f>
        <v>FXA10064</v>
      </c>
      <c r="J25" s="34" t="str">
        <f>IFERROR(VLOOKUP($D25,'Master Sheet'!$B:$AA,5,FALSE),"")</f>
        <v>018208027545</v>
      </c>
      <c r="K25" s="35">
        <f>IFERROR(VLOOKUP($D25,'Master Sheet'!$B:$AA,8,FALSE),"")</f>
        <v>179.95499999999998</v>
      </c>
      <c r="M25" s="9"/>
    </row>
    <row r="26" spans="1:13" x14ac:dyDescent="0.25">
      <c r="A26" s="10"/>
      <c r="B26" s="31"/>
      <c r="C26" s="31"/>
      <c r="D26" s="32" t="s">
        <v>88</v>
      </c>
      <c r="E26" s="33"/>
      <c r="F26" s="2"/>
      <c r="G26" s="17" t="str">
        <f>IFERROR(VLOOKUP($D26,'Master Sheet'!$B:$AA,3,FALSE),"")</f>
        <v>SC-28 TTL SENSOR REMOTE CORD</v>
      </c>
      <c r="H26" s="2"/>
      <c r="I26" s="2" t="str">
        <f>IFERROR(VLOOKUP($D26,'Master Sheet'!$B:$AA,2,FALSE),"")</f>
        <v>FSG02601</v>
      </c>
      <c r="J26" s="34" t="str">
        <f>IFERROR(VLOOKUP($D26,'Master Sheet'!$B:$AA,5,FALSE),"")</f>
        <v>018208047659</v>
      </c>
      <c r="K26" s="35">
        <f>IFERROR(VLOOKUP($D26,'Master Sheet'!$B:$AA,8,FALSE),"")</f>
        <v>1475.9550000000002</v>
      </c>
      <c r="M26" s="9"/>
    </row>
    <row r="27" spans="1:13" x14ac:dyDescent="0.25">
      <c r="A27" s="10"/>
      <c r="B27" s="31"/>
      <c r="C27" s="31"/>
      <c r="D27" s="32" t="s">
        <v>89</v>
      </c>
      <c r="E27" s="33"/>
      <c r="F27" s="2"/>
      <c r="G27" s="2" t="str">
        <f>IFERROR(VLOOKUP($D27,'Master Sheet'!$B:$AA,3,FALSE),"")</f>
        <v>SC-29 TTL SENSOR REMOTE CORD ( WITH AF ASSIST)</v>
      </c>
      <c r="H27" s="2"/>
      <c r="I27" s="2" t="str">
        <f>IFERROR(VLOOKUP($D27,'Master Sheet'!$B:$AA,2,FALSE),"")</f>
        <v>FSG02701</v>
      </c>
      <c r="J27" s="34" t="str">
        <f>IFERROR(VLOOKUP($D27,'Master Sheet'!$B:$AA,5,FALSE),"")</f>
        <v>018208047666</v>
      </c>
      <c r="K27" s="35">
        <f>IFERROR(VLOOKUP($D27,'Master Sheet'!$B:$AA,8,FALSE),"")</f>
        <v>1970.9549999999999</v>
      </c>
      <c r="M27" s="9"/>
    </row>
    <row r="28" spans="1:13" x14ac:dyDescent="0.25">
      <c r="A28" s="10"/>
      <c r="B28" s="31"/>
      <c r="C28" s="31"/>
      <c r="D28" s="32" t="s">
        <v>94</v>
      </c>
      <c r="E28" s="33"/>
      <c r="F28" s="2"/>
      <c r="G28" s="17" t="str">
        <f>IFERROR(VLOOKUP($D28,'Master Sheet'!$B:$AA,3,FALSE),"")</f>
        <v>SOFT CASE SS-SD9 POWER PACK</v>
      </c>
      <c r="H28" s="2"/>
      <c r="I28" s="2" t="str">
        <f>IFERROR(VLOOKUP($D28,'Master Sheet'!$B:$AA,2,FALSE),"")</f>
        <v>FSW54701</v>
      </c>
      <c r="J28" s="34" t="str">
        <f>IFERROR(VLOOKUP($D28,'Master Sheet'!$B:$AA,5,FALSE),"")</f>
        <v>018208049547</v>
      </c>
      <c r="K28" s="35">
        <f>IFERROR(VLOOKUP($D28,'Master Sheet'!$B:$AA,8,FALSE),"")</f>
        <v>431.95499999999998</v>
      </c>
      <c r="M28" s="9"/>
    </row>
    <row r="29" spans="1:13" x14ac:dyDescent="0.25">
      <c r="A29" s="10"/>
      <c r="B29" s="31"/>
      <c r="C29" s="31"/>
      <c r="D29" s="32" t="s">
        <v>97</v>
      </c>
      <c r="E29" s="33"/>
      <c r="F29" s="2"/>
      <c r="G29" s="17" t="str">
        <f>IFERROR(VLOOKUP($D29,'Master Sheet'!$B:$AA,3,FALSE),"")</f>
        <v>SW-15H DIFFUSION DOME (SB-5000)</v>
      </c>
      <c r="H29" s="2"/>
      <c r="I29" s="2" t="str">
        <f>IFERROR(VLOOKUP($D29,'Master Sheet'!$B:$AA,2,FALSE),"")</f>
        <v>FSW90501</v>
      </c>
      <c r="J29" s="34" t="str">
        <f>IFERROR(VLOOKUP($D29,'Master Sheet'!$B:$AA,5,FALSE),"")</f>
        <v>18208041657</v>
      </c>
      <c r="K29" s="35">
        <f>IFERROR(VLOOKUP($D29,'Master Sheet'!$B:$AA,8,FALSE),"")</f>
        <v>269.95499999999998</v>
      </c>
      <c r="M29" s="9"/>
    </row>
    <row r="30" spans="1:13" ht="38.25" x14ac:dyDescent="0.25">
      <c r="A30" s="10"/>
      <c r="B30" s="31"/>
      <c r="C30" s="31"/>
      <c r="D30" s="32" t="s">
        <v>37</v>
      </c>
      <c r="E30" s="33"/>
      <c r="F30" s="2"/>
      <c r="G30" s="17" t="str">
        <f>IFERROR(VLOOKUP($D30,'Master Sheet'!$B:$AA,3,FALSE),"")</f>
        <v>WR-A10 ADAPTER- Required for D4/D4S/D3/D3X/D2XS/D700/D300/D200 to use WR-R10 &amp; WR-T10</v>
      </c>
      <c r="H30" s="2"/>
      <c r="I30" s="2" t="str">
        <f>IFERROR(VLOOKUP($D30,'Master Sheet'!$B:$AA,2,FALSE),"")</f>
        <v>VWD00701</v>
      </c>
      <c r="J30" s="34" t="str">
        <f>IFERROR(VLOOKUP($D30,'Master Sheet'!$B:$AA,5,FALSE),"")</f>
        <v>018208271030</v>
      </c>
      <c r="K30" s="35">
        <f>IFERROR(VLOOKUP($D30,'Master Sheet'!$B:$AA,8,FALSE),"")</f>
        <v>1106.9550000000002</v>
      </c>
      <c r="M30" s="9"/>
    </row>
    <row r="31" spans="1:13" x14ac:dyDescent="0.25">
      <c r="A31" s="10"/>
      <c r="B31" s="31"/>
      <c r="C31" s="31"/>
      <c r="D31" s="32"/>
      <c r="E31" s="33"/>
      <c r="F31" s="2"/>
      <c r="H31" s="2"/>
      <c r="J31" s="34"/>
      <c r="K31" s="35"/>
      <c r="M31" s="9"/>
    </row>
    <row r="32" spans="1:13" ht="13.5" thickBot="1" x14ac:dyDescent="0.3">
      <c r="A32" s="10"/>
      <c r="B32" s="31"/>
      <c r="C32" s="31"/>
      <c r="D32" s="32"/>
      <c r="E32" s="33"/>
      <c r="F32" s="2"/>
      <c r="H32" s="2"/>
      <c r="J32" s="34"/>
      <c r="K32" s="35"/>
      <c r="M32" s="9"/>
    </row>
    <row r="33" spans="1:13" ht="15" customHeight="1" thickBot="1" x14ac:dyDescent="0.3">
      <c r="A33" s="10"/>
      <c r="B33" s="31"/>
      <c r="C33" s="31"/>
      <c r="D33" s="32"/>
      <c r="E33" s="36"/>
      <c r="F33" s="8"/>
      <c r="G33" s="96" t="s">
        <v>56</v>
      </c>
      <c r="H33" s="97"/>
      <c r="I33" s="97"/>
      <c r="J33" s="97"/>
      <c r="K33" s="98"/>
      <c r="M33" s="9"/>
    </row>
    <row r="34" spans="1:13" x14ac:dyDescent="0.25">
      <c r="A34" s="10"/>
      <c r="B34" s="31"/>
      <c r="C34" s="31"/>
      <c r="D34" s="32"/>
      <c r="E34" s="33"/>
      <c r="F34" s="2"/>
      <c r="H34" s="2"/>
      <c r="J34" s="34"/>
      <c r="K34" s="35"/>
      <c r="M34" s="9"/>
    </row>
    <row r="35" spans="1:13" ht="25.5" x14ac:dyDescent="0.25">
      <c r="A35" s="10"/>
      <c r="B35" s="31"/>
      <c r="C35" s="31"/>
      <c r="D35" s="32" t="s">
        <v>13</v>
      </c>
      <c r="E35" s="33"/>
      <c r="F35" s="2"/>
      <c r="G35" s="17" t="str">
        <f>IFERROR(VLOOKUP($D35,'Master Sheet'!$B:$AA,3,FALSE),"")</f>
        <v>SB-700 SPEEDLIGHT UNIT (GUIDE NR= 28/ 24-120MM COVERAGE)</v>
      </c>
      <c r="H35" s="2"/>
      <c r="I35" s="2" t="str">
        <f>IFERROR(VLOOKUP($D35,'Master Sheet'!$B:$AA,2,FALSE),"")</f>
        <v>FSA03901</v>
      </c>
      <c r="J35" s="34" t="str">
        <f>IFERROR(VLOOKUP($D35,'Master Sheet'!$B:$AA,5,FALSE),"")</f>
        <v>018208048083</v>
      </c>
      <c r="K35" s="35">
        <f>IFERROR(VLOOKUP($D35,'Master Sheet'!$B:$AA,8,FALSE),"")</f>
        <v>6101.9549999999999</v>
      </c>
      <c r="M35" s="9"/>
    </row>
    <row r="36" spans="1:13" ht="13.5" thickBot="1" x14ac:dyDescent="0.3">
      <c r="A36" s="10"/>
      <c r="B36" s="31"/>
      <c r="C36" s="31"/>
      <c r="D36" s="38"/>
      <c r="E36" s="36"/>
      <c r="F36" s="8"/>
      <c r="G36" s="22"/>
      <c r="H36" s="8"/>
      <c r="J36" s="34"/>
      <c r="K36" s="35"/>
      <c r="M36" s="9"/>
    </row>
    <row r="37" spans="1:13" ht="13.5" thickBot="1" x14ac:dyDescent="0.3">
      <c r="A37" s="10"/>
      <c r="B37" s="31"/>
      <c r="C37" s="46"/>
      <c r="D37" s="47" t="s">
        <v>294</v>
      </c>
      <c r="E37" s="48"/>
      <c r="F37" s="47"/>
      <c r="G37" s="49"/>
      <c r="H37" s="47"/>
      <c r="I37" s="47"/>
      <c r="J37" s="61"/>
      <c r="K37" s="62"/>
      <c r="M37" s="9"/>
    </row>
    <row r="38" spans="1:13" x14ac:dyDescent="0.25">
      <c r="A38" s="10"/>
      <c r="B38" s="31"/>
      <c r="C38" s="31"/>
      <c r="D38" s="32" t="s">
        <v>84</v>
      </c>
      <c r="E38" s="33"/>
      <c r="F38" s="2"/>
      <c r="G38" s="17" t="str">
        <f>IFERROR(VLOOKUP($D38,'Master Sheet'!$B:$AA,3,FALSE),"")</f>
        <v>GREY CARD</v>
      </c>
      <c r="H38" s="2"/>
      <c r="I38" s="2" t="str">
        <f>IFERROR(VLOOKUP($D38,'Master Sheet'!$B:$AA,2,FALSE),"")</f>
        <v>FXA10064</v>
      </c>
      <c r="J38" s="34" t="str">
        <f>IFERROR(VLOOKUP($D38,'Master Sheet'!$B:$AA,5,FALSE),"")</f>
        <v>018208027545</v>
      </c>
      <c r="K38" s="35">
        <f>IFERROR(VLOOKUP($D38,'Master Sheet'!$B:$AA,8,FALSE),"")</f>
        <v>179.95499999999998</v>
      </c>
      <c r="M38" s="9"/>
    </row>
    <row r="39" spans="1:13" x14ac:dyDescent="0.25">
      <c r="A39" s="10"/>
      <c r="B39" s="31"/>
      <c r="C39" s="31"/>
      <c r="D39" s="32" t="s">
        <v>88</v>
      </c>
      <c r="E39" s="33"/>
      <c r="F39" s="2"/>
      <c r="G39" s="17" t="str">
        <f>IFERROR(VLOOKUP($D39,'Master Sheet'!$B:$AA,3,FALSE),"")</f>
        <v>SC-28 TTL SENSOR REMOTE CORD</v>
      </c>
      <c r="H39" s="2"/>
      <c r="I39" s="2" t="str">
        <f>IFERROR(VLOOKUP($D39,'Master Sheet'!$B:$AA,2,FALSE),"")</f>
        <v>FSG02601</v>
      </c>
      <c r="J39" s="34" t="str">
        <f>IFERROR(VLOOKUP($D39,'Master Sheet'!$B:$AA,5,FALSE),"")</f>
        <v>018208047659</v>
      </c>
      <c r="K39" s="35">
        <f>IFERROR(VLOOKUP($D39,'Master Sheet'!$B:$AA,8,FALSE),"")</f>
        <v>1475.9550000000002</v>
      </c>
      <c r="M39" s="9"/>
    </row>
    <row r="40" spans="1:13" x14ac:dyDescent="0.25">
      <c r="A40" s="10"/>
      <c r="B40" s="31"/>
      <c r="C40" s="31"/>
      <c r="D40" s="32" t="s">
        <v>89</v>
      </c>
      <c r="E40" s="33"/>
      <c r="F40" s="2"/>
      <c r="G40" s="2" t="str">
        <f>IFERROR(VLOOKUP($D40,'Master Sheet'!$B:$AA,3,FALSE),"")</f>
        <v>SC-29 TTL SENSOR REMOTE CORD ( WITH AF ASSIST)</v>
      </c>
      <c r="H40" s="2"/>
      <c r="I40" s="2" t="str">
        <f>IFERROR(VLOOKUP($D40,'Master Sheet'!$B:$AA,2,FALSE),"")</f>
        <v>FSG02701</v>
      </c>
      <c r="J40" s="34" t="str">
        <f>IFERROR(VLOOKUP($D40,'Master Sheet'!$B:$AA,5,FALSE),"")</f>
        <v>018208047666</v>
      </c>
      <c r="K40" s="35">
        <f>IFERROR(VLOOKUP($D40,'Master Sheet'!$B:$AA,8,FALSE),"")</f>
        <v>1970.9549999999999</v>
      </c>
      <c r="M40" s="9"/>
    </row>
    <row r="41" spans="1:13" x14ac:dyDescent="0.25">
      <c r="A41" s="10"/>
      <c r="B41" s="31"/>
      <c r="C41" s="31"/>
      <c r="D41" s="32" t="s">
        <v>92</v>
      </c>
      <c r="E41" s="33"/>
      <c r="F41" s="2"/>
      <c r="G41" s="17" t="str">
        <f>IFERROR(VLOOKUP($D41,'Master Sheet'!$B:$AA,3,FALSE),"")</f>
        <v>SJ-4 COLOR FILTER SET (SB-700)</v>
      </c>
      <c r="H41" s="2"/>
      <c r="I41" s="2" t="str">
        <f>IFERROR(VLOOKUP($D41,'Master Sheet'!$B:$AA,2,FALSE),"")</f>
        <v>FSW54801</v>
      </c>
      <c r="J41" s="34" t="str">
        <f>IFERROR(VLOOKUP($D41,'Master Sheet'!$B:$AA,5,FALSE),"")</f>
        <v>018208049677</v>
      </c>
      <c r="K41" s="35">
        <f>IFERROR(VLOOKUP($D41,'Master Sheet'!$B:$AA,8,FALSE),"")</f>
        <v>494.95500000000004</v>
      </c>
      <c r="M41" s="9"/>
    </row>
    <row r="42" spans="1:13" x14ac:dyDescent="0.25">
      <c r="A42" s="10"/>
      <c r="B42" s="31"/>
      <c r="C42" s="31"/>
      <c r="D42" s="32" t="s">
        <v>93</v>
      </c>
      <c r="E42" s="33"/>
      <c r="F42" s="2"/>
      <c r="G42" s="17" t="str">
        <f>IFERROR(VLOOKUP($D42,'Master Sheet'!$B:$AA,3,FALSE),"")</f>
        <v>SOFT CASE SS-700 ( SB-700)</v>
      </c>
      <c r="H42" s="2"/>
      <c r="I42" s="2" t="str">
        <f>IFERROR(VLOOKUP($D42,'Master Sheet'!$B:$AA,2,FALSE),"")</f>
        <v>FXA10375</v>
      </c>
      <c r="J42" s="34" t="str">
        <f>IFERROR(VLOOKUP($D42,'Master Sheet'!$B:$AA,5,FALSE),"")</f>
        <v>018208049646</v>
      </c>
      <c r="K42" s="35">
        <f>IFERROR(VLOOKUP($D42,'Master Sheet'!$B:$AA,8,FALSE),"")</f>
        <v>629.95500000000004</v>
      </c>
      <c r="M42" s="9"/>
    </row>
    <row r="43" spans="1:13" x14ac:dyDescent="0.25">
      <c r="A43" s="10"/>
      <c r="B43" s="31"/>
      <c r="C43" s="31"/>
      <c r="D43" s="32" t="s">
        <v>100</v>
      </c>
      <c r="E43" s="33"/>
      <c r="F43" s="2"/>
      <c r="G43" s="17" t="str">
        <f>IFERROR(VLOOKUP($D43,'Master Sheet'!$B:$AA,3,FALSE),"")</f>
        <v>SZ-3 COLOR FILTER HOLDER (SB-700)</v>
      </c>
      <c r="H43" s="2"/>
      <c r="I43" s="2" t="str">
        <f>IFERROR(VLOOKUP($D43,'Master Sheet'!$B:$AA,2,FALSE),"")</f>
        <v>FXA10380</v>
      </c>
      <c r="J43" s="34" t="str">
        <f>IFERROR(VLOOKUP($D43,'Master Sheet'!$B:$AA,5,FALSE),"")</f>
        <v>018208049745</v>
      </c>
      <c r="K43" s="35">
        <f>IFERROR(VLOOKUP($D43,'Master Sheet'!$B:$AA,8,FALSE),"")</f>
        <v>251.95499999999998</v>
      </c>
      <c r="M43" s="9"/>
    </row>
    <row r="44" spans="1:13" x14ac:dyDescent="0.25">
      <c r="A44" s="10"/>
      <c r="B44" s="31"/>
      <c r="C44" s="31"/>
      <c r="D44" s="32"/>
      <c r="E44" s="33"/>
      <c r="F44" s="2"/>
      <c r="G44" s="17" t="str">
        <f>IFERROR(VLOOKUP($D44,'Master Sheet'!$B:$AA,3,FALSE),"")</f>
        <v/>
      </c>
      <c r="H44" s="2"/>
      <c r="I44" s="2" t="str">
        <f>IFERROR(VLOOKUP($D44,'Master Sheet'!$B:$AA,2,FALSE),"")</f>
        <v/>
      </c>
      <c r="J44" s="34" t="str">
        <f>IFERROR(VLOOKUP($D44,'Master Sheet'!$B:$AA,5,FALSE),"")</f>
        <v/>
      </c>
      <c r="K44" s="35" t="str">
        <f>IFERROR(VLOOKUP($D44,'Master Sheet'!$B:$AA,8,FALSE),"")</f>
        <v/>
      </c>
      <c r="M44" s="9"/>
    </row>
    <row r="45" spans="1:13" ht="13.5" thickBot="1" x14ac:dyDescent="0.3">
      <c r="A45" s="10"/>
      <c r="B45" s="31"/>
      <c r="C45" s="31"/>
      <c r="D45" s="32"/>
      <c r="E45" s="33"/>
      <c r="F45" s="2"/>
      <c r="H45" s="2"/>
      <c r="J45" s="34"/>
      <c r="K45" s="35"/>
      <c r="M45" s="9"/>
    </row>
    <row r="46" spans="1:13" ht="15" customHeight="1" thickBot="1" x14ac:dyDescent="0.3">
      <c r="A46" s="10"/>
      <c r="B46" s="31"/>
      <c r="C46" s="31"/>
      <c r="D46" s="32"/>
      <c r="E46" s="36"/>
      <c r="F46" s="8"/>
      <c r="G46" s="96" t="s">
        <v>55</v>
      </c>
      <c r="H46" s="97"/>
      <c r="I46" s="97"/>
      <c r="J46" s="97"/>
      <c r="K46" s="98"/>
      <c r="M46" s="9"/>
    </row>
    <row r="47" spans="1:13" x14ac:dyDescent="0.25">
      <c r="A47" s="10"/>
      <c r="B47" s="31"/>
      <c r="C47" s="31"/>
      <c r="D47" s="32"/>
      <c r="E47" s="33"/>
      <c r="F47" s="2"/>
      <c r="H47" s="2"/>
      <c r="J47" s="34"/>
      <c r="K47" s="35"/>
      <c r="M47" s="9"/>
    </row>
    <row r="48" spans="1:13" ht="25.5" x14ac:dyDescent="0.25">
      <c r="A48" s="10"/>
      <c r="B48" s="31"/>
      <c r="C48" s="31"/>
      <c r="D48" s="32" t="s">
        <v>15</v>
      </c>
      <c r="E48" s="33"/>
      <c r="F48" s="2"/>
      <c r="G48" s="17" t="str">
        <f>IFERROR(VLOOKUP($D48,'Master Sheet'!$B:$AA,3,FALSE),"")</f>
        <v>SB-500 SPEEDLIGHT UNIT (GUIDE NR= 24/ 24MM COVERAGE)</v>
      </c>
      <c r="H48" s="2"/>
      <c r="I48" s="2" t="str">
        <f>IFERROR(VLOOKUP($D48,'Master Sheet'!$B:$AA,2,FALSE),"")</f>
        <v>FSA04201</v>
      </c>
      <c r="J48" s="34" t="str">
        <f>IFERROR(VLOOKUP($D48,'Master Sheet'!$B:$AA,5,FALSE),"")</f>
        <v>018208048144</v>
      </c>
      <c r="K48" s="35">
        <f>IFERROR(VLOOKUP($D48,'Master Sheet'!$B:$AA,8,FALSE),"")</f>
        <v>4463.9549999999999</v>
      </c>
      <c r="M48" s="9"/>
    </row>
    <row r="49" spans="1:13" ht="13.5" thickBot="1" x14ac:dyDescent="0.3">
      <c r="A49" s="10"/>
      <c r="B49" s="31"/>
      <c r="C49" s="31"/>
      <c r="D49" s="38"/>
      <c r="E49" s="36"/>
      <c r="F49" s="8"/>
      <c r="G49" s="22"/>
      <c r="H49" s="8"/>
      <c r="J49" s="34"/>
      <c r="K49" s="35"/>
      <c r="M49" s="9"/>
    </row>
    <row r="50" spans="1:13" ht="13.5" thickBot="1" x14ac:dyDescent="0.3">
      <c r="A50" s="10"/>
      <c r="B50" s="31"/>
      <c r="C50" s="46"/>
      <c r="D50" s="47" t="s">
        <v>295</v>
      </c>
      <c r="E50" s="48"/>
      <c r="F50" s="47"/>
      <c r="G50" s="49"/>
      <c r="H50" s="47"/>
      <c r="I50" s="47"/>
      <c r="J50" s="61"/>
      <c r="K50" s="62"/>
      <c r="M50" s="9"/>
    </row>
    <row r="51" spans="1:13" x14ac:dyDescent="0.25">
      <c r="A51" s="10"/>
      <c r="B51" s="31"/>
      <c r="C51" s="31"/>
      <c r="D51" s="32" t="s">
        <v>84</v>
      </c>
      <c r="E51" s="33"/>
      <c r="F51" s="2"/>
      <c r="G51" s="17" t="str">
        <f>IFERROR(VLOOKUP($D51,'Master Sheet'!$B:$AA,3,FALSE),"")</f>
        <v>GREY CARD</v>
      </c>
      <c r="H51" s="2"/>
      <c r="I51" s="2" t="str">
        <f>IFERROR(VLOOKUP($D51,'Master Sheet'!$B:$AA,2,FALSE),"")</f>
        <v>FXA10064</v>
      </c>
      <c r="J51" s="34" t="str">
        <f>IFERROR(VLOOKUP($D51,'Master Sheet'!$B:$AA,5,FALSE),"")</f>
        <v>018208027545</v>
      </c>
      <c r="K51" s="35">
        <f>IFERROR(VLOOKUP($D51,'Master Sheet'!$B:$AA,8,FALSE),"")</f>
        <v>179.95499999999998</v>
      </c>
      <c r="M51" s="9"/>
    </row>
    <row r="52" spans="1:13" x14ac:dyDescent="0.25">
      <c r="A52" s="10"/>
      <c r="B52" s="31"/>
      <c r="C52" s="31"/>
      <c r="D52" s="32" t="s">
        <v>88</v>
      </c>
      <c r="E52" s="33"/>
      <c r="F52" s="2"/>
      <c r="G52" s="17" t="str">
        <f>IFERROR(VLOOKUP($D52,'Master Sheet'!$B:$AA,3,FALSE),"")</f>
        <v>SC-28 TTL SENSOR REMOTE CORD</v>
      </c>
      <c r="H52" s="2"/>
      <c r="I52" s="2" t="str">
        <f>IFERROR(VLOOKUP($D52,'Master Sheet'!$B:$AA,2,FALSE),"")</f>
        <v>FSG02601</v>
      </c>
      <c r="J52" s="34" t="str">
        <f>IFERROR(VLOOKUP($D52,'Master Sheet'!$B:$AA,5,FALSE),"")</f>
        <v>018208047659</v>
      </c>
      <c r="K52" s="35">
        <f>IFERROR(VLOOKUP($D52,'Master Sheet'!$B:$AA,8,FALSE),"")</f>
        <v>1475.9550000000002</v>
      </c>
      <c r="M52" s="9"/>
    </row>
    <row r="53" spans="1:13" x14ac:dyDescent="0.25">
      <c r="A53" s="10"/>
      <c r="B53" s="31"/>
      <c r="C53" s="31"/>
      <c r="D53" s="32" t="s">
        <v>89</v>
      </c>
      <c r="E53" s="33"/>
      <c r="F53" s="2"/>
      <c r="G53" s="2" t="str">
        <f>IFERROR(VLOOKUP($D53,'Master Sheet'!$B:$AA,3,FALSE),"")</f>
        <v>SC-29 TTL SENSOR REMOTE CORD ( WITH AF ASSIST)</v>
      </c>
      <c r="H53" s="2"/>
      <c r="I53" s="2" t="str">
        <f>IFERROR(VLOOKUP($D53,'Master Sheet'!$B:$AA,2,FALSE),"")</f>
        <v>FSG02701</v>
      </c>
      <c r="J53" s="34" t="str">
        <f>IFERROR(VLOOKUP($D53,'Master Sheet'!$B:$AA,5,FALSE),"")</f>
        <v>018208047666</v>
      </c>
      <c r="K53" s="35">
        <f>IFERROR(VLOOKUP($D53,'Master Sheet'!$B:$AA,8,FALSE),"")</f>
        <v>1970.9549999999999</v>
      </c>
      <c r="M53" s="9"/>
    </row>
    <row r="54" spans="1:13" x14ac:dyDescent="0.25">
      <c r="A54" s="10"/>
      <c r="B54" s="31"/>
      <c r="C54" s="31"/>
      <c r="D54" s="32"/>
      <c r="E54" s="33"/>
      <c r="F54" s="2"/>
      <c r="G54" s="17" t="str">
        <f>IFERROR(VLOOKUP($D54,'Master Sheet'!$B:$AA,3,FALSE),"")</f>
        <v/>
      </c>
      <c r="H54" s="2"/>
      <c r="I54" s="2" t="str">
        <f>IFERROR(VLOOKUP($D54,'Master Sheet'!$B:$AA,2,FALSE),"")</f>
        <v/>
      </c>
      <c r="J54" s="34" t="str">
        <f>IFERROR(VLOOKUP($D54,'Master Sheet'!$B:$AA,5,FALSE),"")</f>
        <v/>
      </c>
      <c r="K54" s="35" t="str">
        <f>IFERROR(VLOOKUP($D54,'Master Sheet'!$B:$AA,8,FALSE),"")</f>
        <v/>
      </c>
      <c r="M54" s="9"/>
    </row>
    <row r="55" spans="1:13" ht="13.5" thickBot="1" x14ac:dyDescent="0.3">
      <c r="A55" s="10"/>
      <c r="B55" s="31"/>
      <c r="C55" s="31"/>
      <c r="D55" s="32"/>
      <c r="E55" s="33"/>
      <c r="F55" s="2"/>
      <c r="G55" s="17" t="str">
        <f>IFERROR(VLOOKUP($D55,'Master Sheet'!$B:$AA,3,FALSE),"")</f>
        <v/>
      </c>
      <c r="H55" s="2"/>
      <c r="I55" s="2" t="str">
        <f>IFERROR(VLOOKUP($D55,'Master Sheet'!$B:$AA,2,FALSE),"")</f>
        <v/>
      </c>
      <c r="J55" s="34" t="str">
        <f>IFERROR(VLOOKUP($D55,'Master Sheet'!$B:$AA,5,FALSE),"")</f>
        <v/>
      </c>
      <c r="K55" s="35" t="str">
        <f>IFERROR(VLOOKUP($D55,'Master Sheet'!$B:$AA,8,FALSE),"")</f>
        <v/>
      </c>
      <c r="M55" s="9"/>
    </row>
    <row r="56" spans="1:13" ht="15" customHeight="1" thickBot="1" x14ac:dyDescent="0.3">
      <c r="A56" s="10"/>
      <c r="B56" s="31"/>
      <c r="C56" s="31"/>
      <c r="D56" s="32"/>
      <c r="E56" s="36"/>
      <c r="F56" s="8"/>
      <c r="G56" s="96" t="s">
        <v>660</v>
      </c>
      <c r="H56" s="97"/>
      <c r="I56" s="97"/>
      <c r="J56" s="97"/>
      <c r="K56" s="98"/>
      <c r="M56" s="9"/>
    </row>
    <row r="57" spans="1:13" ht="13.5" thickBot="1" x14ac:dyDescent="0.3">
      <c r="A57" s="10"/>
      <c r="B57" s="31"/>
      <c r="C57" s="31"/>
      <c r="D57" s="38"/>
      <c r="E57" s="36"/>
      <c r="F57" s="8"/>
      <c r="G57" s="22"/>
      <c r="H57" s="8"/>
      <c r="J57" s="34"/>
      <c r="K57" s="35"/>
      <c r="M57" s="9"/>
    </row>
    <row r="58" spans="1:13" ht="13.5" thickBot="1" x14ac:dyDescent="0.3">
      <c r="A58" s="10"/>
      <c r="B58" s="31"/>
      <c r="C58" s="39" t="s">
        <v>48</v>
      </c>
      <c r="D58" s="40"/>
      <c r="E58" s="40"/>
      <c r="F58" s="55"/>
      <c r="G58" s="41" t="s">
        <v>643</v>
      </c>
      <c r="H58" s="55"/>
      <c r="I58" s="42" t="s">
        <v>52</v>
      </c>
      <c r="J58" s="43" t="s">
        <v>47</v>
      </c>
      <c r="K58" s="56" t="s">
        <v>642</v>
      </c>
      <c r="M58" s="9"/>
    </row>
    <row r="59" spans="1:13" ht="13.5" thickBot="1" x14ac:dyDescent="0.3">
      <c r="A59" s="10"/>
      <c r="B59" s="31"/>
      <c r="C59" s="31"/>
      <c r="D59" s="32"/>
      <c r="E59" s="33"/>
      <c r="F59" s="2"/>
      <c r="H59" s="2"/>
      <c r="J59" s="34"/>
      <c r="K59" s="35"/>
      <c r="M59" s="9"/>
    </row>
    <row r="60" spans="1:13" ht="15" customHeight="1" thickBot="1" x14ac:dyDescent="0.3">
      <c r="A60" s="10"/>
      <c r="B60" s="31"/>
      <c r="C60" s="31"/>
      <c r="D60" s="32"/>
      <c r="E60" s="36"/>
      <c r="F60" s="8"/>
      <c r="G60" s="96" t="s">
        <v>662</v>
      </c>
      <c r="H60" s="97"/>
      <c r="I60" s="97"/>
      <c r="J60" s="97"/>
      <c r="K60" s="98"/>
      <c r="M60" s="9"/>
    </row>
    <row r="61" spans="1:13" x14ac:dyDescent="0.25">
      <c r="A61" s="10"/>
      <c r="B61" s="31"/>
      <c r="C61" s="31"/>
      <c r="D61" s="32"/>
      <c r="E61" s="33"/>
      <c r="F61" s="2"/>
      <c r="H61" s="2"/>
      <c r="J61" s="34"/>
      <c r="K61" s="35"/>
      <c r="M61" s="9"/>
    </row>
    <row r="62" spans="1:13" ht="25.5" x14ac:dyDescent="0.25">
      <c r="A62" s="10"/>
      <c r="B62" s="31"/>
      <c r="C62" s="31"/>
      <c r="D62" s="32" t="s">
        <v>17</v>
      </c>
      <c r="E62" s="33"/>
      <c r="F62" s="2"/>
      <c r="G62" s="17" t="str">
        <f>IFERROR(VLOOKUP($D62,'Master Sheet'!$B:$AA,3,FALSE),"")</f>
        <v>CLOSE-UP SPEEDLIGHT REMOTE KIT R1 (Included 2 x SB-R200)</v>
      </c>
      <c r="H62" s="2"/>
      <c r="I62" s="2" t="str">
        <f>IFERROR(VLOOKUP($D62,'Master Sheet'!$B:$AA,2,FALSE),"")</f>
        <v>FSA906BA</v>
      </c>
      <c r="J62" s="34" t="str">
        <f>IFERROR(VLOOKUP($D62,'Master Sheet'!$B:$AA,5,FALSE),"")</f>
        <v>018208048045</v>
      </c>
      <c r="K62" s="35">
        <f>IFERROR(VLOOKUP($D62,'Master Sheet'!$B:$AA,8,FALSE),"")</f>
        <v>15218.955000000002</v>
      </c>
      <c r="M62" s="9"/>
    </row>
    <row r="63" spans="1:13" ht="13.5" thickBot="1" x14ac:dyDescent="0.3">
      <c r="A63" s="10"/>
      <c r="B63" s="31"/>
      <c r="C63" s="31"/>
      <c r="D63" s="38"/>
      <c r="E63" s="36"/>
      <c r="F63" s="8"/>
      <c r="G63" s="22"/>
      <c r="H63" s="8"/>
      <c r="J63" s="34"/>
      <c r="K63" s="35"/>
      <c r="M63" s="9"/>
    </row>
    <row r="64" spans="1:13" ht="13.5" thickBot="1" x14ac:dyDescent="0.3">
      <c r="A64" s="10"/>
      <c r="B64" s="31"/>
      <c r="C64" s="46"/>
      <c r="D64" s="47" t="s">
        <v>665</v>
      </c>
      <c r="E64" s="48"/>
      <c r="F64" s="47"/>
      <c r="G64" s="49"/>
      <c r="H64" s="47"/>
      <c r="I64" s="47"/>
      <c r="J64" s="61"/>
      <c r="K64" s="62"/>
      <c r="M64" s="9"/>
    </row>
    <row r="65" spans="1:13" x14ac:dyDescent="0.25">
      <c r="A65" s="10"/>
      <c r="B65" s="31"/>
      <c r="C65" s="31"/>
      <c r="D65" s="32" t="s">
        <v>84</v>
      </c>
      <c r="E65" s="33"/>
      <c r="F65" s="2"/>
      <c r="G65" s="17" t="str">
        <f>IFERROR(VLOOKUP($D65,'Master Sheet'!$B:$AA,3,FALSE),"")</f>
        <v>GREY CARD</v>
      </c>
      <c r="H65" s="2"/>
      <c r="I65" s="2" t="str">
        <f>IFERROR(VLOOKUP($D65,'Master Sheet'!$B:$AA,2,FALSE),"")</f>
        <v>FXA10064</v>
      </c>
      <c r="J65" s="34" t="str">
        <f>IFERROR(VLOOKUP($D65,'Master Sheet'!$B:$AA,5,FALSE),"")</f>
        <v>018208027545</v>
      </c>
      <c r="K65" s="35">
        <f>IFERROR(VLOOKUP($D65,'Master Sheet'!$B:$AA,8,FALSE),"")</f>
        <v>179.95499999999998</v>
      </c>
      <c r="M65" s="9"/>
    </row>
    <row r="66" spans="1:13" x14ac:dyDescent="0.25">
      <c r="A66" s="10"/>
      <c r="B66" s="31"/>
      <c r="C66" s="31"/>
      <c r="D66" s="32" t="s">
        <v>90</v>
      </c>
      <c r="E66" s="33"/>
      <c r="F66" s="2"/>
      <c r="G66" s="17" t="str">
        <f>IFERROR(VLOOKUP($D66,'Master Sheet'!$B:$AA,3,FALSE),"")</f>
        <v xml:space="preserve">SG-31R IR PANEL FOR BUILT -IN FLASH </v>
      </c>
      <c r="H66" s="2"/>
      <c r="I66" s="2" t="str">
        <f>IFERROR(VLOOKUP($D66,'Master Sheet'!$B:$AA,2,FALSE),"")</f>
        <v>FXA10358</v>
      </c>
      <c r="J66" s="34" t="str">
        <f>IFERROR(VLOOKUP($D66,'Master Sheet'!$B:$AA,5,FALSE),"")</f>
        <v>018208049059</v>
      </c>
      <c r="K66" s="35">
        <f>IFERROR(VLOOKUP($D66,'Master Sheet'!$B:$AA,8,FALSE),"")</f>
        <v>233.95499999999998</v>
      </c>
      <c r="M66" s="9"/>
    </row>
    <row r="67" spans="1:13" x14ac:dyDescent="0.25">
      <c r="A67" s="10"/>
      <c r="B67" s="31"/>
      <c r="C67" s="31"/>
      <c r="D67" s="32" t="s">
        <v>91</v>
      </c>
      <c r="E67" s="33"/>
      <c r="F67" s="2"/>
      <c r="G67" s="17" t="str">
        <f>IFERROR(VLOOKUP($D67,'Master Sheet'!$B:$AA,3,FALSE),"")</f>
        <v>SJ-2 COLOR FILTER SET (SB-R200/R1/R1C1)</v>
      </c>
      <c r="H67" s="2"/>
      <c r="I67" s="2" t="str">
        <f>IFERROR(VLOOKUP($D67,'Master Sheet'!$B:$AA,2,FALSE),"")</f>
        <v>FSW54001</v>
      </c>
      <c r="J67" s="34" t="str">
        <f>IFERROR(VLOOKUP($D67,'Master Sheet'!$B:$AA,5,FALSE),"")</f>
        <v>018208049134</v>
      </c>
      <c r="K67" s="35">
        <f>IFERROR(VLOOKUP($D67,'Master Sheet'!$B:$AA,8,FALSE),"")</f>
        <v>449.95499999999998</v>
      </c>
      <c r="M67" s="9"/>
    </row>
    <row r="68" spans="1:13" x14ac:dyDescent="0.25">
      <c r="A68" s="10"/>
      <c r="B68" s="31"/>
      <c r="C68" s="31"/>
      <c r="D68" s="32" t="s">
        <v>95</v>
      </c>
      <c r="E68" s="33"/>
      <c r="F68" s="2"/>
      <c r="G68" s="17" t="str">
        <f>IFERROR(VLOOKUP($D68,'Master Sheet'!$B:$AA,3,FALSE),"")</f>
        <v>SOFT CASE SS-SU800</v>
      </c>
      <c r="H68" s="2"/>
      <c r="I68" s="2" t="str">
        <f>IFERROR(VLOOKUP($D68,'Master Sheet'!$B:$AA,2,FALSE),"")</f>
        <v>FXA10360</v>
      </c>
      <c r="J68" s="34" t="str">
        <f>IFERROR(VLOOKUP($D68,'Master Sheet'!$B:$AA,5,FALSE),"")</f>
        <v>018208049080</v>
      </c>
      <c r="K68" s="35">
        <f>IFERROR(VLOOKUP($D68,'Master Sheet'!$B:$AA,8,FALSE),"")</f>
        <v>188.95499999999998</v>
      </c>
      <c r="M68" s="9"/>
    </row>
    <row r="69" spans="1:13" x14ac:dyDescent="0.25">
      <c r="A69" s="10"/>
      <c r="B69" s="31"/>
      <c r="C69" s="31"/>
      <c r="D69" s="32" t="s">
        <v>96</v>
      </c>
      <c r="E69" s="33"/>
      <c r="F69" s="2"/>
      <c r="G69" s="17" t="str">
        <f>IFERROR(VLOOKUP($D69,'Master Sheet'!$B:$AA,3,FALSE),"")</f>
        <v>SW-12 DIFFUSER (SB600/SB-R200/R1/R1C1)</v>
      </c>
      <c r="H69" s="2"/>
      <c r="I69" s="2" t="str">
        <f>IFERROR(VLOOKUP($D69,'Master Sheet'!$B:$AA,2,FALSE),"")</f>
        <v>FXA10364</v>
      </c>
      <c r="J69" s="34" t="str">
        <f>IFERROR(VLOOKUP($D69,'Master Sheet'!$B:$AA,5,FALSE),"")</f>
        <v>018208049073</v>
      </c>
      <c r="K69" s="35">
        <f>IFERROR(VLOOKUP($D69,'Master Sheet'!$B:$AA,8,FALSE),"")</f>
        <v>242.95499999999998</v>
      </c>
      <c r="M69" s="9"/>
    </row>
    <row r="70" spans="1:13" x14ac:dyDescent="0.25">
      <c r="A70" s="10"/>
      <c r="B70" s="31"/>
      <c r="C70" s="31"/>
      <c r="D70" s="32" t="s">
        <v>298</v>
      </c>
      <c r="E70" s="33"/>
      <c r="F70" s="2"/>
      <c r="G70" s="17" t="str">
        <f>IFERROR(VLOOKUP($D70,'Master Sheet'!$B:$AA,3,FALSE),"")</f>
        <v>FLEXIBLE ARM CLIP SW-C1</v>
      </c>
      <c r="H70" s="2"/>
      <c r="I70" s="2" t="str">
        <f>IFERROR(VLOOKUP($D70,'Master Sheet'!$B:$AA,2,FALSE),"")</f>
        <v>FXA10362</v>
      </c>
      <c r="J70" s="34" t="str">
        <f>IFERROR(VLOOKUP($D70,'Master Sheet'!$B:$AA,5,FALSE),"")</f>
        <v>018208049066</v>
      </c>
      <c r="K70" s="35">
        <f>IFERROR(VLOOKUP($D70,'Master Sheet'!$B:$AA,8,FALSE),"")</f>
        <v>719.95500000000004</v>
      </c>
      <c r="M70" s="9"/>
    </row>
    <row r="71" spans="1:13" x14ac:dyDescent="0.25">
      <c r="A71" s="10"/>
      <c r="B71" s="31"/>
      <c r="C71" s="31"/>
      <c r="D71" s="32" t="s">
        <v>98</v>
      </c>
      <c r="E71" s="33"/>
      <c r="F71" s="2"/>
      <c r="G71" s="17" t="str">
        <f>IFERROR(VLOOKUP($D71,'Master Sheet'!$B:$AA,3,FALSE),"")</f>
        <v>ADAPTER RING SY-1-67</v>
      </c>
      <c r="H71" s="2"/>
      <c r="I71" s="2" t="str">
        <f>IFERROR(VLOOKUP($D71,'Master Sheet'!$B:$AA,2,FALSE),"")</f>
        <v>FXA10368</v>
      </c>
      <c r="J71" s="34" t="str">
        <f>IFERROR(VLOOKUP($D71,'Master Sheet'!$B:$AA,5,FALSE),"")</f>
        <v>018208047994</v>
      </c>
      <c r="K71" s="35">
        <f>IFERROR(VLOOKUP($D71,'Master Sheet'!$B:$AA,8,FALSE),"")</f>
        <v>431.95499999999998</v>
      </c>
      <c r="M71" s="9"/>
    </row>
    <row r="72" spans="1:13" x14ac:dyDescent="0.25">
      <c r="A72" s="10"/>
      <c r="B72" s="31"/>
      <c r="C72" s="31"/>
      <c r="D72" s="32" t="s">
        <v>99</v>
      </c>
      <c r="E72" s="33"/>
      <c r="F72" s="2"/>
      <c r="G72" s="17" t="str">
        <f>IFERROR(VLOOKUP($D72,'Master Sheet'!$B:$AA,3,FALSE),"")</f>
        <v>SZ-1 COLOR FILTER HOLDER (SB-R200/R1/R1C1)</v>
      </c>
      <c r="H72" s="2"/>
      <c r="I72" s="2" t="str">
        <f>IFERROR(VLOOKUP($D72,'Master Sheet'!$B:$AA,2,FALSE),"")</f>
        <v>FXA10357</v>
      </c>
      <c r="J72" s="34" t="str">
        <f>IFERROR(VLOOKUP($D72,'Master Sheet'!$B:$AA,5,FALSE),"")</f>
        <v>018208049042</v>
      </c>
      <c r="K72" s="35">
        <f>IFERROR(VLOOKUP($D72,'Master Sheet'!$B:$AA,8,FALSE),"")</f>
        <v>134.95499999999998</v>
      </c>
      <c r="M72" s="9"/>
    </row>
    <row r="73" spans="1:13" x14ac:dyDescent="0.25">
      <c r="A73" s="10"/>
      <c r="B73" s="31"/>
      <c r="C73" s="31"/>
      <c r="D73" s="32"/>
      <c r="E73" s="33"/>
      <c r="F73" s="2"/>
      <c r="G73" s="17" t="str">
        <f>IFERROR(VLOOKUP($D73,'Master Sheet'!$B:$AA,3,FALSE),"")</f>
        <v/>
      </c>
      <c r="H73" s="2"/>
      <c r="I73" s="2" t="str">
        <f>IFERROR(VLOOKUP($D73,'Master Sheet'!$B:$AA,2,FALSE),"")</f>
        <v/>
      </c>
      <c r="J73" s="34" t="str">
        <f>IFERROR(VLOOKUP($D73,'Master Sheet'!$B:$AA,5,FALSE),"")</f>
        <v/>
      </c>
      <c r="K73" s="35" t="str">
        <f>IFERROR(VLOOKUP($D73,'Master Sheet'!$B:$AA,8,FALSE),"")</f>
        <v/>
      </c>
      <c r="M73" s="9"/>
    </row>
    <row r="74" spans="1:13" ht="13.5" thickBot="1" x14ac:dyDescent="0.3">
      <c r="A74" s="10"/>
      <c r="B74" s="31"/>
      <c r="C74" s="31"/>
      <c r="D74" s="32"/>
      <c r="E74" s="33"/>
      <c r="F74" s="2"/>
      <c r="H74" s="2"/>
      <c r="J74" s="34"/>
      <c r="K74" s="35"/>
      <c r="M74" s="9"/>
    </row>
    <row r="75" spans="1:13" ht="15" customHeight="1" thickBot="1" x14ac:dyDescent="0.3">
      <c r="A75" s="10"/>
      <c r="B75" s="31"/>
      <c r="C75" s="31"/>
      <c r="D75" s="32"/>
      <c r="E75" s="36"/>
      <c r="F75" s="8"/>
      <c r="G75" s="96" t="s">
        <v>663</v>
      </c>
      <c r="H75" s="97"/>
      <c r="I75" s="97"/>
      <c r="J75" s="97"/>
      <c r="K75" s="98"/>
      <c r="M75" s="9"/>
    </row>
    <row r="76" spans="1:13" x14ac:dyDescent="0.25">
      <c r="A76" s="10"/>
      <c r="B76" s="31"/>
      <c r="C76" s="31"/>
      <c r="D76" s="32"/>
      <c r="E76" s="33"/>
      <c r="F76" s="2"/>
      <c r="H76" s="2"/>
      <c r="J76" s="34"/>
      <c r="K76" s="35"/>
      <c r="M76" s="9"/>
    </row>
    <row r="77" spans="1:13" ht="25.5" x14ac:dyDescent="0.25">
      <c r="A77" s="10"/>
      <c r="B77" s="31"/>
      <c r="C77" s="31"/>
      <c r="D77" s="32" t="s">
        <v>21</v>
      </c>
      <c r="E77" s="33"/>
      <c r="F77" s="2"/>
      <c r="G77" s="17" t="str">
        <f>IFERROR(VLOOKUP($D77,'Master Sheet'!$B:$AA,3,FALSE),"")</f>
        <v>CLOSE-UP SPEEDLIGHT COMMANDER KIT R1C1 (Includes 2X SB-R200 + SU-800)</v>
      </c>
      <c r="H77" s="2"/>
      <c r="I77" s="2" t="str">
        <f>IFERROR(VLOOKUP($D77,'Master Sheet'!$B:$AA,2,FALSE),"")</f>
        <v>FSA906CA</v>
      </c>
      <c r="J77" s="34" t="str">
        <f>IFERROR(VLOOKUP($D77,'Master Sheet'!$B:$AA,5,FALSE),"")</f>
        <v>018208048038</v>
      </c>
      <c r="K77" s="35">
        <f>IFERROR(VLOOKUP($D77,'Master Sheet'!$B:$AA,8,FALSE),"")</f>
        <v>18296.955000000002</v>
      </c>
      <c r="M77" s="9"/>
    </row>
    <row r="78" spans="1:13" ht="13.5" thickBot="1" x14ac:dyDescent="0.3">
      <c r="A78" s="10"/>
      <c r="B78" s="31"/>
      <c r="C78" s="31"/>
      <c r="D78" s="38"/>
      <c r="E78" s="36"/>
      <c r="F78" s="8"/>
      <c r="G78" s="22"/>
      <c r="H78" s="8"/>
      <c r="J78" s="34"/>
      <c r="K78" s="35"/>
      <c r="M78" s="9"/>
    </row>
    <row r="79" spans="1:13" ht="13.5" thickBot="1" x14ac:dyDescent="0.3">
      <c r="A79" s="10"/>
      <c r="B79" s="31"/>
      <c r="C79" s="46"/>
      <c r="D79" s="47" t="s">
        <v>664</v>
      </c>
      <c r="E79" s="48"/>
      <c r="F79" s="47"/>
      <c r="G79" s="49"/>
      <c r="H79" s="47"/>
      <c r="I79" s="47"/>
      <c r="J79" s="61"/>
      <c r="K79" s="62"/>
      <c r="M79" s="9"/>
    </row>
    <row r="80" spans="1:13" x14ac:dyDescent="0.25">
      <c r="A80" s="10"/>
      <c r="B80" s="31"/>
      <c r="C80" s="31"/>
      <c r="D80" s="32" t="s">
        <v>84</v>
      </c>
      <c r="E80" s="33"/>
      <c r="F80" s="2"/>
      <c r="G80" s="17" t="str">
        <f>IFERROR(VLOOKUP($D80,'Master Sheet'!$B:$AA,3,FALSE),"")</f>
        <v>GREY CARD</v>
      </c>
      <c r="H80" s="2"/>
      <c r="I80" s="2" t="str">
        <f>IFERROR(VLOOKUP($D80,'Master Sheet'!$B:$AA,2,FALSE),"")</f>
        <v>FXA10064</v>
      </c>
      <c r="J80" s="34" t="str">
        <f>IFERROR(VLOOKUP($D80,'Master Sheet'!$B:$AA,5,FALSE),"")</f>
        <v>018208027545</v>
      </c>
      <c r="K80" s="35">
        <f>IFERROR(VLOOKUP($D80,'Master Sheet'!$B:$AA,8,FALSE),"")</f>
        <v>179.95499999999998</v>
      </c>
      <c r="M80" s="9"/>
    </row>
    <row r="81" spans="1:13" x14ac:dyDescent="0.25">
      <c r="A81" s="10"/>
      <c r="B81" s="31"/>
      <c r="C81" s="31"/>
      <c r="D81" s="32" t="s">
        <v>90</v>
      </c>
      <c r="E81" s="33"/>
      <c r="F81" s="2"/>
      <c r="G81" s="17" t="str">
        <f>IFERROR(VLOOKUP($D81,'Master Sheet'!$B:$AA,3,FALSE),"")</f>
        <v xml:space="preserve">SG-31R IR PANEL FOR BUILT -IN FLASH </v>
      </c>
      <c r="H81" s="2"/>
      <c r="I81" s="2" t="str">
        <f>IFERROR(VLOOKUP($D81,'Master Sheet'!$B:$AA,2,FALSE),"")</f>
        <v>FXA10358</v>
      </c>
      <c r="J81" s="34" t="str">
        <f>IFERROR(VLOOKUP($D81,'Master Sheet'!$B:$AA,5,FALSE),"")</f>
        <v>018208049059</v>
      </c>
      <c r="K81" s="35">
        <f>IFERROR(VLOOKUP($D81,'Master Sheet'!$B:$AA,8,FALSE),"")</f>
        <v>233.95499999999998</v>
      </c>
      <c r="M81" s="9"/>
    </row>
    <row r="82" spans="1:13" x14ac:dyDescent="0.25">
      <c r="A82" s="10"/>
      <c r="B82" s="31"/>
      <c r="C82" s="31"/>
      <c r="D82" s="32" t="s">
        <v>91</v>
      </c>
      <c r="E82" s="33"/>
      <c r="F82" s="2"/>
      <c r="G82" s="17" t="str">
        <f>IFERROR(VLOOKUP($D82,'Master Sheet'!$B:$AA,3,FALSE),"")</f>
        <v>SJ-2 COLOR FILTER SET (SB-R200/R1/R1C1)</v>
      </c>
      <c r="H82" s="2"/>
      <c r="I82" s="2" t="str">
        <f>IFERROR(VLOOKUP($D82,'Master Sheet'!$B:$AA,2,FALSE),"")</f>
        <v>FSW54001</v>
      </c>
      <c r="J82" s="34" t="str">
        <f>IFERROR(VLOOKUP($D82,'Master Sheet'!$B:$AA,5,FALSE),"")</f>
        <v>018208049134</v>
      </c>
      <c r="K82" s="35">
        <f>IFERROR(VLOOKUP($D82,'Master Sheet'!$B:$AA,8,FALSE),"")</f>
        <v>449.95499999999998</v>
      </c>
      <c r="M82" s="9"/>
    </row>
    <row r="83" spans="1:13" x14ac:dyDescent="0.25">
      <c r="A83" s="10"/>
      <c r="B83" s="31"/>
      <c r="C83" s="31"/>
      <c r="D83" s="32" t="s">
        <v>95</v>
      </c>
      <c r="E83" s="33"/>
      <c r="F83" s="2"/>
      <c r="G83" s="17" t="str">
        <f>IFERROR(VLOOKUP($D83,'Master Sheet'!$B:$AA,3,FALSE),"")</f>
        <v>SOFT CASE SS-SU800</v>
      </c>
      <c r="H83" s="2"/>
      <c r="I83" s="2" t="str">
        <f>IFERROR(VLOOKUP($D83,'Master Sheet'!$B:$AA,2,FALSE),"")</f>
        <v>FXA10360</v>
      </c>
      <c r="J83" s="34" t="str">
        <f>IFERROR(VLOOKUP($D83,'Master Sheet'!$B:$AA,5,FALSE),"")</f>
        <v>018208049080</v>
      </c>
      <c r="K83" s="35">
        <f>IFERROR(VLOOKUP($D83,'Master Sheet'!$B:$AA,8,FALSE),"")</f>
        <v>188.95499999999998</v>
      </c>
      <c r="M83" s="9"/>
    </row>
    <row r="84" spans="1:13" x14ac:dyDescent="0.25">
      <c r="A84" s="10"/>
      <c r="B84" s="31"/>
      <c r="C84" s="31"/>
      <c r="D84" s="32" t="s">
        <v>96</v>
      </c>
      <c r="E84" s="33"/>
      <c r="F84" s="2"/>
      <c r="G84" s="17" t="str">
        <f>IFERROR(VLOOKUP($D84,'Master Sheet'!$B:$AA,3,FALSE),"")</f>
        <v>SW-12 DIFFUSER (SB600/SB-R200/R1/R1C1)</v>
      </c>
      <c r="H84" s="2"/>
      <c r="I84" s="2" t="str">
        <f>IFERROR(VLOOKUP($D84,'Master Sheet'!$B:$AA,2,FALSE),"")</f>
        <v>FXA10364</v>
      </c>
      <c r="J84" s="34" t="str">
        <f>IFERROR(VLOOKUP($D84,'Master Sheet'!$B:$AA,5,FALSE),"")</f>
        <v>018208049073</v>
      </c>
      <c r="K84" s="35">
        <f>IFERROR(VLOOKUP($D84,'Master Sheet'!$B:$AA,8,FALSE),"")</f>
        <v>242.95499999999998</v>
      </c>
      <c r="M84" s="9"/>
    </row>
    <row r="85" spans="1:13" x14ac:dyDescent="0.25">
      <c r="A85" s="10"/>
      <c r="B85" s="31"/>
      <c r="C85" s="31"/>
      <c r="D85" s="32" t="s">
        <v>98</v>
      </c>
      <c r="E85" s="33"/>
      <c r="F85" s="2"/>
      <c r="G85" s="17" t="str">
        <f>IFERROR(VLOOKUP($D85,'Master Sheet'!$B:$AA,3,FALSE),"")</f>
        <v>ADAPTER RING SY-1-67</v>
      </c>
      <c r="H85" s="2"/>
      <c r="I85" s="2" t="str">
        <f>IFERROR(VLOOKUP($D85,'Master Sheet'!$B:$AA,2,FALSE),"")</f>
        <v>FXA10368</v>
      </c>
      <c r="J85" s="34" t="str">
        <f>IFERROR(VLOOKUP($D85,'Master Sheet'!$B:$AA,5,FALSE),"")</f>
        <v>018208047994</v>
      </c>
      <c r="K85" s="35">
        <f>IFERROR(VLOOKUP($D85,'Master Sheet'!$B:$AA,8,FALSE),"")</f>
        <v>431.95499999999998</v>
      </c>
      <c r="M85" s="9"/>
    </row>
    <row r="86" spans="1:13" x14ac:dyDescent="0.25">
      <c r="A86" s="10"/>
      <c r="B86" s="31"/>
      <c r="C86" s="31"/>
      <c r="D86" s="32" t="s">
        <v>99</v>
      </c>
      <c r="E86" s="33"/>
      <c r="F86" s="2"/>
      <c r="G86" s="17" t="str">
        <f>IFERROR(VLOOKUP($D86,'Master Sheet'!$B:$AA,3,FALSE),"")</f>
        <v>SZ-1 COLOR FILTER HOLDER (SB-R200/R1/R1C1)</v>
      </c>
      <c r="H86" s="2"/>
      <c r="I86" s="2" t="str">
        <f>IFERROR(VLOOKUP($D86,'Master Sheet'!$B:$AA,2,FALSE),"")</f>
        <v>FXA10357</v>
      </c>
      <c r="J86" s="34" t="str">
        <f>IFERROR(VLOOKUP($D86,'Master Sheet'!$B:$AA,5,FALSE),"")</f>
        <v>018208049042</v>
      </c>
      <c r="K86" s="35">
        <f>IFERROR(VLOOKUP($D86,'Master Sheet'!$B:$AA,8,FALSE),"")</f>
        <v>134.95499999999998</v>
      </c>
      <c r="M86" s="9"/>
    </row>
    <row r="87" spans="1:13" x14ac:dyDescent="0.25">
      <c r="A87" s="10"/>
      <c r="B87" s="31"/>
      <c r="C87" s="31"/>
      <c r="D87" s="32"/>
      <c r="E87" s="33"/>
      <c r="F87" s="2"/>
      <c r="G87" s="17" t="str">
        <f>IFERROR(VLOOKUP($D87,'Master Sheet'!$B:$AA,3,FALSE),"")</f>
        <v/>
      </c>
      <c r="H87" s="2"/>
      <c r="I87" s="2" t="str">
        <f>IFERROR(VLOOKUP($D87,'Master Sheet'!$B:$AA,2,FALSE),"")</f>
        <v/>
      </c>
      <c r="J87" s="34" t="str">
        <f>IFERROR(VLOOKUP($D87,'Master Sheet'!$B:$AA,5,FALSE),"")</f>
        <v/>
      </c>
      <c r="K87" s="35" t="str">
        <f>IFERROR(VLOOKUP($D87,'Master Sheet'!$B:$AA,8,FALSE),"")</f>
        <v/>
      </c>
      <c r="M87" s="9"/>
    </row>
    <row r="88" spans="1:13" ht="13.5" thickBot="1" x14ac:dyDescent="0.3">
      <c r="A88" s="10"/>
      <c r="B88" s="31"/>
      <c r="C88" s="31"/>
      <c r="D88" s="32"/>
      <c r="E88" s="33"/>
      <c r="F88" s="2"/>
      <c r="H88" s="2"/>
      <c r="J88" s="34"/>
      <c r="K88" s="35"/>
      <c r="M88" s="9"/>
    </row>
    <row r="89" spans="1:13" ht="15" customHeight="1" thickBot="1" x14ac:dyDescent="0.3">
      <c r="A89" s="10"/>
      <c r="B89" s="31"/>
      <c r="C89" s="31"/>
      <c r="D89" s="32"/>
      <c r="E89" s="36"/>
      <c r="F89" s="8"/>
      <c r="G89" s="96" t="s">
        <v>299</v>
      </c>
      <c r="H89" s="97"/>
      <c r="I89" s="97"/>
      <c r="J89" s="97"/>
      <c r="K89" s="98"/>
      <c r="M89" s="9"/>
    </row>
    <row r="90" spans="1:13" x14ac:dyDescent="0.25">
      <c r="A90" s="10"/>
      <c r="B90" s="31"/>
      <c r="C90" s="31"/>
      <c r="D90" s="32"/>
      <c r="E90" s="33"/>
      <c r="F90" s="2"/>
      <c r="H90" s="2"/>
      <c r="J90" s="34"/>
      <c r="K90" s="35"/>
      <c r="M90" s="9"/>
    </row>
    <row r="91" spans="1:13" x14ac:dyDescent="0.25">
      <c r="A91" s="10"/>
      <c r="B91" s="31"/>
      <c r="C91" s="31"/>
      <c r="D91" s="32" t="s">
        <v>19</v>
      </c>
      <c r="E91" s="33"/>
      <c r="F91" s="2"/>
      <c r="G91" s="17" t="str">
        <f>IFERROR(VLOOKUP($D91,'Master Sheet'!$B:$AA,3,FALSE),"")</f>
        <v>SB-R200 WIRELESS REMOTE SPEEDLIGHT</v>
      </c>
      <c r="H91" s="2"/>
      <c r="I91" s="2" t="str">
        <f>IFERROR(VLOOKUP($D91,'Master Sheet'!$B:$AA,2,FALSE),"")</f>
        <v>FSA90601</v>
      </c>
      <c r="J91" s="34" t="str">
        <f>IFERROR(VLOOKUP($D91,'Master Sheet'!$B:$AA,5,FALSE),"")</f>
        <v>018208048052</v>
      </c>
      <c r="K91" s="35">
        <f>IFERROR(VLOOKUP($D91,'Master Sheet'!$B:$AA,8,FALSE),"")</f>
        <v>4913.9549999999999</v>
      </c>
      <c r="M91" s="9"/>
    </row>
    <row r="92" spans="1:13" ht="13.5" thickBot="1" x14ac:dyDescent="0.3">
      <c r="A92" s="10"/>
      <c r="B92" s="31"/>
      <c r="C92" s="31"/>
      <c r="D92" s="38"/>
      <c r="E92" s="36"/>
      <c r="F92" s="8"/>
      <c r="G92" s="22"/>
      <c r="H92" s="8"/>
      <c r="J92" s="34"/>
      <c r="K92" s="35"/>
      <c r="M92" s="9"/>
    </row>
    <row r="93" spans="1:13" ht="13.5" thickBot="1" x14ac:dyDescent="0.3">
      <c r="A93" s="10"/>
      <c r="B93" s="31"/>
      <c r="C93" s="46"/>
      <c r="D93" s="47" t="s">
        <v>666</v>
      </c>
      <c r="E93" s="48"/>
      <c r="F93" s="47"/>
      <c r="G93" s="49"/>
      <c r="H93" s="47"/>
      <c r="I93" s="47"/>
      <c r="J93" s="61"/>
      <c r="K93" s="62"/>
      <c r="M93" s="9"/>
    </row>
    <row r="94" spans="1:13" x14ac:dyDescent="0.25">
      <c r="A94" s="10"/>
      <c r="B94" s="31"/>
      <c r="C94" s="31"/>
      <c r="D94" s="32" t="s">
        <v>84</v>
      </c>
      <c r="E94" s="33"/>
      <c r="F94" s="2"/>
      <c r="G94" s="17" t="str">
        <f>IFERROR(VLOOKUP($D94,'Master Sheet'!$B:$AA,3,FALSE),"")</f>
        <v>GREY CARD</v>
      </c>
      <c r="H94" s="2"/>
      <c r="I94" s="2" t="str">
        <f>IFERROR(VLOOKUP($D94,'Master Sheet'!$B:$AA,2,FALSE),"")</f>
        <v>FXA10064</v>
      </c>
      <c r="J94" s="34" t="str">
        <f>IFERROR(VLOOKUP($D94,'Master Sheet'!$B:$AA,5,FALSE),"")</f>
        <v>018208027545</v>
      </c>
      <c r="K94" s="35">
        <f>IFERROR(VLOOKUP($D94,'Master Sheet'!$B:$AA,8,FALSE),"")</f>
        <v>179.95499999999998</v>
      </c>
      <c r="M94" s="9"/>
    </row>
    <row r="95" spans="1:13" x14ac:dyDescent="0.25">
      <c r="A95" s="10"/>
      <c r="B95" s="31"/>
      <c r="C95" s="31"/>
      <c r="D95" s="32" t="s">
        <v>88</v>
      </c>
      <c r="E95" s="33"/>
      <c r="F95" s="2"/>
      <c r="G95" s="17" t="str">
        <f>IFERROR(VLOOKUP($D95,'Master Sheet'!$B:$AA,3,FALSE),"")</f>
        <v>SC-28 TTL SENSOR REMOTE CORD</v>
      </c>
      <c r="H95" s="2"/>
      <c r="I95" s="2" t="str">
        <f>IFERROR(VLOOKUP($D95,'Master Sheet'!$B:$AA,2,FALSE),"")</f>
        <v>FSG02601</v>
      </c>
      <c r="J95" s="34" t="str">
        <f>IFERROR(VLOOKUP($D95,'Master Sheet'!$B:$AA,5,FALSE),"")</f>
        <v>018208047659</v>
      </c>
      <c r="K95" s="35">
        <f>IFERROR(VLOOKUP($D95,'Master Sheet'!$B:$AA,8,FALSE),"")</f>
        <v>1475.9550000000002</v>
      </c>
      <c r="M95" s="9"/>
    </row>
    <row r="96" spans="1:13" x14ac:dyDescent="0.25">
      <c r="A96" s="10"/>
      <c r="B96" s="31"/>
      <c r="C96" s="31"/>
      <c r="D96" s="32" t="s">
        <v>89</v>
      </c>
      <c r="E96" s="33"/>
      <c r="F96" s="2"/>
      <c r="G96" s="2" t="str">
        <f>IFERROR(VLOOKUP($D96,'Master Sheet'!$B:$AA,3,FALSE),"")</f>
        <v>SC-29 TTL SENSOR REMOTE CORD ( WITH AF ASSIST)</v>
      </c>
      <c r="H96" s="2"/>
      <c r="I96" s="2" t="str">
        <f>IFERROR(VLOOKUP($D96,'Master Sheet'!$B:$AA,2,FALSE),"")</f>
        <v>FSG02701</v>
      </c>
      <c r="J96" s="34" t="str">
        <f>IFERROR(VLOOKUP($D96,'Master Sheet'!$B:$AA,5,FALSE),"")</f>
        <v>018208047666</v>
      </c>
      <c r="K96" s="35">
        <f>IFERROR(VLOOKUP($D96,'Master Sheet'!$B:$AA,8,FALSE),"")</f>
        <v>1970.9549999999999</v>
      </c>
      <c r="M96" s="9"/>
    </row>
    <row r="97" spans="1:13" x14ac:dyDescent="0.25">
      <c r="A97" s="10"/>
      <c r="B97" s="31"/>
      <c r="C97" s="31"/>
      <c r="D97" s="32" t="s">
        <v>91</v>
      </c>
      <c r="E97" s="33"/>
      <c r="F97" s="2"/>
      <c r="G97" s="17" t="str">
        <f>IFERROR(VLOOKUP($D97,'Master Sheet'!$B:$AA,3,FALSE),"")</f>
        <v>SJ-2 COLOR FILTER SET (SB-R200/R1/R1C1)</v>
      </c>
      <c r="H97" s="2"/>
      <c r="I97" s="2" t="str">
        <f>IFERROR(VLOOKUP($D97,'Master Sheet'!$B:$AA,2,FALSE),"")</f>
        <v>FSW54001</v>
      </c>
      <c r="J97" s="34" t="str">
        <f>IFERROR(VLOOKUP($D97,'Master Sheet'!$B:$AA,5,FALSE),"")</f>
        <v>018208049134</v>
      </c>
      <c r="K97" s="35">
        <f>IFERROR(VLOOKUP($D97,'Master Sheet'!$B:$AA,8,FALSE),"")</f>
        <v>449.95499999999998</v>
      </c>
      <c r="M97" s="9"/>
    </row>
    <row r="98" spans="1:13" x14ac:dyDescent="0.25">
      <c r="A98" s="10"/>
      <c r="B98" s="31"/>
      <c r="C98" s="31"/>
      <c r="D98" s="32" t="s">
        <v>96</v>
      </c>
      <c r="E98" s="33"/>
      <c r="F98" s="2"/>
      <c r="G98" s="17" t="str">
        <f>IFERROR(VLOOKUP($D98,'Master Sheet'!$B:$AA,3,FALSE),"")</f>
        <v>SW-12 DIFFUSER (SB600/SB-R200/R1/R1C1)</v>
      </c>
      <c r="H98" s="2"/>
      <c r="I98" s="2" t="str">
        <f>IFERROR(VLOOKUP($D98,'Master Sheet'!$B:$AA,2,FALSE),"")</f>
        <v>FXA10364</v>
      </c>
      <c r="J98" s="34" t="str">
        <f>IFERROR(VLOOKUP($D98,'Master Sheet'!$B:$AA,5,FALSE),"")</f>
        <v>018208049073</v>
      </c>
      <c r="K98" s="35">
        <f>IFERROR(VLOOKUP($D98,'Master Sheet'!$B:$AA,8,FALSE),"")</f>
        <v>242.95499999999998</v>
      </c>
      <c r="M98" s="9"/>
    </row>
    <row r="99" spans="1:13" x14ac:dyDescent="0.25">
      <c r="A99" s="10"/>
      <c r="B99" s="31"/>
      <c r="C99" s="31"/>
      <c r="D99" s="32" t="s">
        <v>99</v>
      </c>
      <c r="E99" s="33"/>
      <c r="F99" s="2"/>
      <c r="G99" s="17" t="str">
        <f>IFERROR(VLOOKUP($D99,'Master Sheet'!$B:$AA,3,FALSE),"")</f>
        <v>SZ-1 COLOR FILTER HOLDER (SB-R200/R1/R1C1)</v>
      </c>
      <c r="H99" s="2"/>
      <c r="I99" s="2" t="str">
        <f>IFERROR(VLOOKUP($D99,'Master Sheet'!$B:$AA,2,FALSE),"")</f>
        <v>FXA10357</v>
      </c>
      <c r="J99" s="34" t="str">
        <f>IFERROR(VLOOKUP($D99,'Master Sheet'!$B:$AA,5,FALSE),"")</f>
        <v>018208049042</v>
      </c>
      <c r="K99" s="35">
        <f>IFERROR(VLOOKUP($D99,'Master Sheet'!$B:$AA,8,FALSE),"")</f>
        <v>134.95499999999998</v>
      </c>
      <c r="M99" s="9"/>
    </row>
    <row r="100" spans="1:13" x14ac:dyDescent="0.25">
      <c r="A100" s="10"/>
      <c r="B100" s="31"/>
      <c r="C100" s="31"/>
      <c r="D100" s="32"/>
      <c r="E100" s="33"/>
      <c r="F100" s="2"/>
      <c r="G100" s="17" t="str">
        <f>IFERROR(VLOOKUP($D100,'Master Sheet'!$B:$AA,3,FALSE),"")</f>
        <v/>
      </c>
      <c r="H100" s="2"/>
      <c r="I100" s="2" t="str">
        <f>IFERROR(VLOOKUP($D100,'Master Sheet'!$B:$AA,2,FALSE),"")</f>
        <v/>
      </c>
      <c r="J100" s="34" t="str">
        <f>IFERROR(VLOOKUP($D100,'Master Sheet'!$B:$AA,5,FALSE),"")</f>
        <v/>
      </c>
      <c r="K100" s="35" t="str">
        <f>IFERROR(VLOOKUP($D100,'Master Sheet'!$B:$AA,8,FALSE),"")</f>
        <v/>
      </c>
      <c r="M100" s="9"/>
    </row>
    <row r="101" spans="1:13" ht="13.5" thickBot="1" x14ac:dyDescent="0.3">
      <c r="A101" s="10"/>
      <c r="B101" s="31"/>
      <c r="C101" s="31"/>
      <c r="D101" s="32"/>
      <c r="E101" s="33"/>
      <c r="F101" s="2"/>
      <c r="H101" s="2"/>
      <c r="J101" s="34"/>
      <c r="K101" s="35"/>
      <c r="M101" s="9"/>
    </row>
    <row r="102" spans="1:13" ht="15" customHeight="1" thickBot="1" x14ac:dyDescent="0.3">
      <c r="A102" s="10"/>
      <c r="B102" s="31"/>
      <c r="C102" s="31"/>
      <c r="D102" s="32"/>
      <c r="E102" s="36"/>
      <c r="F102" s="8"/>
      <c r="G102" s="96" t="s">
        <v>300</v>
      </c>
      <c r="H102" s="97"/>
      <c r="I102" s="97"/>
      <c r="J102" s="97"/>
      <c r="K102" s="98"/>
      <c r="M102" s="9"/>
    </row>
    <row r="103" spans="1:13" x14ac:dyDescent="0.25">
      <c r="A103" s="10"/>
      <c r="B103" s="31"/>
      <c r="C103" s="31"/>
      <c r="D103" s="32"/>
      <c r="E103" s="33"/>
      <c r="F103" s="2"/>
      <c r="H103" s="2"/>
      <c r="J103" s="34"/>
      <c r="K103" s="35"/>
      <c r="M103" s="9"/>
    </row>
    <row r="104" spans="1:13" x14ac:dyDescent="0.25">
      <c r="A104" s="10"/>
      <c r="B104" s="31"/>
      <c r="C104" s="31"/>
      <c r="D104" s="32" t="s">
        <v>11</v>
      </c>
      <c r="E104" s="33"/>
      <c r="F104" s="2"/>
      <c r="G104" s="17" t="str">
        <f>IFERROR(VLOOKUP($D104,'Master Sheet'!$B:$AA,3,FALSE),"")</f>
        <v xml:space="preserve">SU-800 WIRELESS SPEEDLIGHT COMMANDER </v>
      </c>
      <c r="H104" s="2"/>
      <c r="I104" s="2" t="str">
        <f>IFERROR(VLOOKUP($D104,'Master Sheet'!$B:$AA,2,FALSE),"")</f>
        <v>FSW53801</v>
      </c>
      <c r="J104" s="34" t="str">
        <f>IFERROR(VLOOKUP($D104,'Master Sheet'!$B:$AA,5,FALSE),"")</f>
        <v>018208047949</v>
      </c>
      <c r="K104" s="35">
        <f>IFERROR(VLOOKUP($D104,'Master Sheet'!$B:$AA,8,FALSE),"")</f>
        <v>7847.9550000000008</v>
      </c>
      <c r="M104" s="9"/>
    </row>
    <row r="105" spans="1:13" ht="13.5" thickBot="1" x14ac:dyDescent="0.3">
      <c r="A105" s="10"/>
      <c r="B105" s="31"/>
      <c r="C105" s="31"/>
      <c r="D105" s="38"/>
      <c r="E105" s="36"/>
      <c r="F105" s="8"/>
      <c r="G105" s="22"/>
      <c r="H105" s="8"/>
      <c r="J105" s="34"/>
      <c r="K105" s="35"/>
      <c r="M105" s="9"/>
    </row>
    <row r="106" spans="1:13" ht="13.5" thickBot="1" x14ac:dyDescent="0.3">
      <c r="A106" s="10"/>
      <c r="B106" s="31"/>
      <c r="C106" s="46"/>
      <c r="D106" s="47" t="s">
        <v>667</v>
      </c>
      <c r="E106" s="48"/>
      <c r="F106" s="47"/>
      <c r="G106" s="49"/>
      <c r="H106" s="47"/>
      <c r="I106" s="47"/>
      <c r="J106" s="61"/>
      <c r="K106" s="62"/>
      <c r="M106" s="9"/>
    </row>
    <row r="107" spans="1:13" x14ac:dyDescent="0.25">
      <c r="A107" s="10"/>
      <c r="B107" s="31"/>
      <c r="C107" s="31"/>
      <c r="D107" s="32" t="s">
        <v>84</v>
      </c>
      <c r="E107" s="33"/>
      <c r="F107" s="2"/>
      <c r="G107" s="17" t="str">
        <f>IFERROR(VLOOKUP($D107,'Master Sheet'!$B:$AA,3,FALSE),"")</f>
        <v>GREY CARD</v>
      </c>
      <c r="H107" s="2"/>
      <c r="I107" s="2" t="str">
        <f>IFERROR(VLOOKUP($D107,'Master Sheet'!$B:$AA,2,FALSE),"")</f>
        <v>FXA10064</v>
      </c>
      <c r="J107" s="34" t="str">
        <f>IFERROR(VLOOKUP($D107,'Master Sheet'!$B:$AA,5,FALSE),"")</f>
        <v>018208027545</v>
      </c>
      <c r="K107" s="35">
        <f>IFERROR(VLOOKUP($D107,'Master Sheet'!$B:$AA,8,FALSE),"")</f>
        <v>179.95499999999998</v>
      </c>
      <c r="M107" s="9"/>
    </row>
    <row r="108" spans="1:13" x14ac:dyDescent="0.25">
      <c r="A108" s="10"/>
      <c r="B108" s="31"/>
      <c r="C108" s="31"/>
      <c r="D108" s="32" t="s">
        <v>88</v>
      </c>
      <c r="E108" s="33"/>
      <c r="F108" s="2"/>
      <c r="G108" s="17" t="str">
        <f>IFERROR(VLOOKUP($D108,'Master Sheet'!$B:$AA,3,FALSE),"")</f>
        <v>SC-28 TTL SENSOR REMOTE CORD</v>
      </c>
      <c r="H108" s="2"/>
      <c r="I108" s="2" t="str">
        <f>IFERROR(VLOOKUP($D108,'Master Sheet'!$B:$AA,2,FALSE),"")</f>
        <v>FSG02601</v>
      </c>
      <c r="J108" s="34" t="str">
        <f>IFERROR(VLOOKUP($D108,'Master Sheet'!$B:$AA,5,FALSE),"")</f>
        <v>018208047659</v>
      </c>
      <c r="K108" s="35">
        <f>IFERROR(VLOOKUP($D108,'Master Sheet'!$B:$AA,8,FALSE),"")</f>
        <v>1475.9550000000002</v>
      </c>
      <c r="M108" s="9"/>
    </row>
    <row r="109" spans="1:13" x14ac:dyDescent="0.25">
      <c r="A109" s="10"/>
      <c r="B109" s="31"/>
      <c r="C109" s="31"/>
      <c r="D109" s="32" t="s">
        <v>89</v>
      </c>
      <c r="E109" s="33"/>
      <c r="F109" s="2"/>
      <c r="G109" s="2" t="str">
        <f>IFERROR(VLOOKUP($D109,'Master Sheet'!$B:$AA,3,FALSE),"")</f>
        <v>SC-29 TTL SENSOR REMOTE CORD ( WITH AF ASSIST)</v>
      </c>
      <c r="H109" s="2"/>
      <c r="I109" s="2" t="str">
        <f>IFERROR(VLOOKUP($D109,'Master Sheet'!$B:$AA,2,FALSE),"")</f>
        <v>FSG02701</v>
      </c>
      <c r="J109" s="34" t="str">
        <f>IFERROR(VLOOKUP($D109,'Master Sheet'!$B:$AA,5,FALSE),"")</f>
        <v>018208047666</v>
      </c>
      <c r="K109" s="35">
        <f>IFERROR(VLOOKUP($D109,'Master Sheet'!$B:$AA,8,FALSE),"")</f>
        <v>1970.9549999999999</v>
      </c>
      <c r="M109" s="9"/>
    </row>
    <row r="110" spans="1:13" x14ac:dyDescent="0.25">
      <c r="A110" s="10"/>
      <c r="B110" s="31"/>
      <c r="C110" s="31"/>
      <c r="D110" s="32" t="s">
        <v>95</v>
      </c>
      <c r="E110" s="33"/>
      <c r="F110" s="2"/>
      <c r="G110" s="17" t="str">
        <f>IFERROR(VLOOKUP($D110,'Master Sheet'!$B:$AA,3,FALSE),"")</f>
        <v>SOFT CASE SS-SU800</v>
      </c>
      <c r="H110" s="2"/>
      <c r="I110" s="2" t="str">
        <f>IFERROR(VLOOKUP($D110,'Master Sheet'!$B:$AA,2,FALSE),"")</f>
        <v>FXA10360</v>
      </c>
      <c r="J110" s="34" t="str">
        <f>IFERROR(VLOOKUP($D110,'Master Sheet'!$B:$AA,5,FALSE),"")</f>
        <v>018208049080</v>
      </c>
      <c r="K110" s="35">
        <f>IFERROR(VLOOKUP($D110,'Master Sheet'!$B:$AA,8,FALSE),"")</f>
        <v>188.95499999999998</v>
      </c>
      <c r="M110" s="9"/>
    </row>
    <row r="111" spans="1:13" x14ac:dyDescent="0.25">
      <c r="A111" s="10"/>
      <c r="B111" s="31"/>
      <c r="C111" s="31"/>
      <c r="D111" s="32"/>
      <c r="E111" s="33"/>
      <c r="F111" s="2"/>
      <c r="G111" s="17" t="str">
        <f>IFERROR(VLOOKUP($D111,'Master Sheet'!$B:$AA,3,FALSE),"")</f>
        <v/>
      </c>
      <c r="H111" s="2"/>
      <c r="I111" s="2" t="str">
        <f>IFERROR(VLOOKUP($D111,'Master Sheet'!$B:$AA,2,FALSE),"")</f>
        <v/>
      </c>
      <c r="J111" s="34" t="str">
        <f>IFERROR(VLOOKUP($D111,'Master Sheet'!$B:$AA,5,FALSE),"")</f>
        <v/>
      </c>
      <c r="K111" s="35" t="str">
        <f>IFERROR(VLOOKUP($D111,'Master Sheet'!$B:$AA,8,FALSE),"")</f>
        <v/>
      </c>
      <c r="M111" s="9"/>
    </row>
    <row r="112" spans="1:13" x14ac:dyDescent="0.25">
      <c r="A112" s="10"/>
      <c r="B112" s="31"/>
      <c r="C112" s="31"/>
      <c r="D112" s="32"/>
      <c r="E112" s="33"/>
      <c r="F112" s="2"/>
      <c r="G112" s="17" t="str">
        <f>IFERROR(VLOOKUP($D112,'Master Sheet'!$B:$AA,3,FALSE),"")</f>
        <v/>
      </c>
      <c r="H112" s="2"/>
      <c r="I112" s="2" t="str">
        <f>IFERROR(VLOOKUP($D112,'Master Sheet'!$B:$AA,2,FALSE),"")</f>
        <v/>
      </c>
      <c r="J112" s="34" t="str">
        <f>IFERROR(VLOOKUP($D112,'Master Sheet'!$B:$AA,5,FALSE),"")</f>
        <v/>
      </c>
      <c r="K112" s="35" t="str">
        <f>IFERROR(VLOOKUP($D112,'Master Sheet'!$B:$AA,8,FALSE),"")</f>
        <v/>
      </c>
      <c r="M112" s="9"/>
    </row>
    <row r="113" spans="1:13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</sheetData>
  <mergeCells count="9">
    <mergeCell ref="G16:K16"/>
    <mergeCell ref="G56:K56"/>
    <mergeCell ref="G89:K89"/>
    <mergeCell ref="G102:K102"/>
    <mergeCell ref="G20:K20"/>
    <mergeCell ref="G33:K33"/>
    <mergeCell ref="G46:K46"/>
    <mergeCell ref="G60:K60"/>
    <mergeCell ref="G75:K75"/>
  </mergeCells>
  <phoneticPr fontId="10" type="noConversion"/>
  <pageMargins left="0.25" right="0.25" top="0.75" bottom="0.75" header="0.3" footer="0.3"/>
  <pageSetup paperSize="9" scale="76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071A-CD1A-4118-819C-6F5942DCB914}">
  <sheetPr>
    <pageSetUpPr fitToPage="1"/>
  </sheetPr>
  <dimension ref="A1:M34"/>
  <sheetViews>
    <sheetView showGridLines="0" showRowColHeaders="0" zoomScale="85" zoomScaleNormal="85" workbookViewId="0">
      <selection activeCell="K18" sqref="K18"/>
    </sheetView>
  </sheetViews>
  <sheetFormatPr defaultColWidth="8.85546875" defaultRowHeight="12.75" x14ac:dyDescent="0.25"/>
  <cols>
    <col min="1" max="3" width="3.42578125" style="5" customWidth="1"/>
    <col min="4" max="4" width="16.85546875" style="2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11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32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31"/>
      <c r="D3" s="32"/>
      <c r="E3" s="36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32"/>
      <c r="E4" s="36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31"/>
      <c r="D5" s="32"/>
      <c r="E5" s="36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32"/>
      <c r="E6" s="36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31"/>
      <c r="D7" s="32"/>
      <c r="E7" s="36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1"/>
      <c r="D8" s="32"/>
      <c r="E8" s="36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32"/>
      <c r="E9" s="36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31"/>
      <c r="D10" s="32"/>
      <c r="E10" s="36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31"/>
      <c r="D11" s="32"/>
      <c r="E11" s="36"/>
      <c r="F11" s="8"/>
      <c r="G11" s="22"/>
      <c r="H11" s="8"/>
      <c r="J11" s="34"/>
      <c r="K11" s="35"/>
      <c r="M11" s="9"/>
    </row>
    <row r="12" spans="1:13" x14ac:dyDescent="0.25">
      <c r="A12" s="10"/>
      <c r="B12" s="31"/>
      <c r="C12" s="31"/>
      <c r="D12" s="32"/>
      <c r="E12" s="36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31"/>
      <c r="D13" s="32"/>
      <c r="E13" s="36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32"/>
      <c r="E14" s="36"/>
      <c r="F14" s="8"/>
      <c r="G14" s="22"/>
      <c r="H14" s="8"/>
      <c r="J14" s="34"/>
      <c r="K14" s="35"/>
      <c r="M14" s="9"/>
    </row>
    <row r="15" spans="1:13" ht="13.5" thickBot="1" x14ac:dyDescent="0.3">
      <c r="A15" s="10"/>
      <c r="B15" s="31"/>
      <c r="C15" s="31"/>
      <c r="D15" s="32"/>
      <c r="E15" s="36"/>
      <c r="F15" s="8"/>
      <c r="G15" s="22"/>
      <c r="H15" s="8"/>
      <c r="J15" s="34"/>
      <c r="K15" s="35"/>
      <c r="M15" s="9"/>
    </row>
    <row r="16" spans="1:13" ht="15" customHeight="1" thickBot="1" x14ac:dyDescent="0.3">
      <c r="A16" s="10"/>
      <c r="B16" s="31"/>
      <c r="C16" s="31"/>
      <c r="D16" s="32"/>
      <c r="E16" s="36"/>
      <c r="F16" s="8"/>
      <c r="G16" s="96" t="s">
        <v>661</v>
      </c>
      <c r="H16" s="97"/>
      <c r="I16" s="97"/>
      <c r="J16" s="97"/>
      <c r="K16" s="98"/>
      <c r="M16" s="9"/>
    </row>
    <row r="17" spans="1:13" ht="13.5" thickBot="1" x14ac:dyDescent="0.3">
      <c r="A17" s="10"/>
      <c r="B17" s="31"/>
      <c r="C17" s="31"/>
      <c r="D17" s="38"/>
      <c r="E17" s="36"/>
      <c r="F17" s="8"/>
      <c r="G17" s="22"/>
      <c r="H17" s="8"/>
      <c r="J17" s="34"/>
      <c r="K17" s="35"/>
      <c r="M17" s="9"/>
    </row>
    <row r="18" spans="1:13" ht="13.5" thickBot="1" x14ac:dyDescent="0.3">
      <c r="A18" s="10"/>
      <c r="B18" s="31"/>
      <c r="C18" s="39" t="s">
        <v>48</v>
      </c>
      <c r="D18" s="40"/>
      <c r="E18" s="40"/>
      <c r="F18" s="55"/>
      <c r="G18" s="41" t="s">
        <v>643</v>
      </c>
      <c r="H18" s="55"/>
      <c r="I18" s="42" t="s">
        <v>52</v>
      </c>
      <c r="J18" s="43" t="s">
        <v>47</v>
      </c>
      <c r="K18" s="56" t="s">
        <v>943</v>
      </c>
      <c r="M18" s="9"/>
    </row>
    <row r="19" spans="1:13" x14ac:dyDescent="0.25">
      <c r="A19" s="10"/>
      <c r="B19" s="31"/>
      <c r="C19" s="31"/>
      <c r="D19" s="32"/>
      <c r="E19" s="33"/>
      <c r="F19" s="2"/>
      <c r="H19" s="2"/>
      <c r="J19" s="34"/>
      <c r="K19" s="35"/>
      <c r="M19" s="9"/>
    </row>
    <row r="20" spans="1:13" x14ac:dyDescent="0.25">
      <c r="A20" s="10"/>
      <c r="B20" s="31"/>
      <c r="C20" s="31"/>
      <c r="D20" s="32" t="s">
        <v>102</v>
      </c>
      <c r="E20" s="33"/>
      <c r="F20" s="2"/>
      <c r="G20" s="17" t="str">
        <f>IFERROR(VLOOKUP($D20,'Master Sheet'!$B:$AA,3,FALSE),"")</f>
        <v>COOLPIX P950 BLACK</v>
      </c>
      <c r="H20" s="2"/>
      <c r="I20" s="2" t="str">
        <f>IFERROR(VLOOKUP($D20,'Master Sheet'!$B:$AA,2,FALSE),"")</f>
        <v>VQA100MA</v>
      </c>
      <c r="J20" s="34" t="str">
        <f>IFERROR(VLOOKUP($D20,'Master Sheet'!$B:$AA,5,FALSE),"")</f>
        <v>4960759912886</v>
      </c>
      <c r="K20" s="35">
        <f>IFERROR(VLOOKUP($D20,'Master Sheet'!$B:$AA,8,FALSE),"")</f>
        <v>15659.955000000002</v>
      </c>
      <c r="M20" s="9"/>
    </row>
    <row r="21" spans="1:13" ht="13.5" thickBot="1" x14ac:dyDescent="0.3">
      <c r="A21" s="10"/>
      <c r="B21" s="31"/>
      <c r="C21" s="31"/>
      <c r="D21" s="32"/>
      <c r="E21" s="33"/>
      <c r="F21" s="2"/>
      <c r="H21" s="2"/>
      <c r="J21" s="34"/>
      <c r="K21" s="35"/>
      <c r="M21" s="9"/>
    </row>
    <row r="22" spans="1:13" ht="13.5" thickBot="1" x14ac:dyDescent="0.3">
      <c r="A22" s="10"/>
      <c r="B22" s="31"/>
      <c r="C22" s="46"/>
      <c r="D22" s="47" t="s">
        <v>254</v>
      </c>
      <c r="E22" s="48"/>
      <c r="F22" s="47"/>
      <c r="G22" s="49"/>
      <c r="H22" s="47"/>
      <c r="I22" s="47"/>
      <c r="J22" s="61"/>
      <c r="K22" s="62"/>
      <c r="M22" s="9"/>
    </row>
    <row r="23" spans="1:13" x14ac:dyDescent="0.25">
      <c r="A23" s="10"/>
      <c r="B23" s="31"/>
      <c r="C23" s="31"/>
      <c r="D23" s="32" t="s">
        <v>68</v>
      </c>
      <c r="E23" s="33"/>
      <c r="F23" s="2"/>
      <c r="G23" s="17" t="str">
        <f>IFERROR(VLOOKUP($D23,'Master Sheet'!$B:$AA,3,FALSE),"")</f>
        <v xml:space="preserve">67MM FILTER C-PL II             </v>
      </c>
      <c r="H23" s="2"/>
      <c r="I23" s="2" t="str">
        <f>IFERROR(VLOOKUP($D23,'Master Sheet'!$B:$AA,2,FALSE),"")</f>
        <v>FTA13201</v>
      </c>
      <c r="J23" s="34" t="str">
        <f>IFERROR(VLOOKUP($D23,'Master Sheet'!$B:$AA,5,FALSE),"")</f>
        <v>018208022557</v>
      </c>
      <c r="K23" s="35">
        <f>IFERROR(VLOOKUP($D23,'Master Sheet'!$B:$AA,8,FALSE),"")</f>
        <v>2798.9549999999999</v>
      </c>
      <c r="M23" s="9"/>
    </row>
    <row r="24" spans="1:13" x14ac:dyDescent="0.25">
      <c r="A24" s="10"/>
      <c r="B24" s="31"/>
      <c r="C24" s="31"/>
      <c r="D24" s="32" t="s">
        <v>272</v>
      </c>
      <c r="E24" s="33"/>
      <c r="F24" s="2"/>
      <c r="G24" s="17" t="str">
        <f>IFERROR(VLOOKUP($D24,'Master Sheet'!$B:$AA,3,FALSE),"")</f>
        <v>AC Adapter EH-5d</v>
      </c>
      <c r="H24" s="2"/>
      <c r="I24" s="2" t="str">
        <f>IFERROR(VLOOKUP($D24,'Master Sheet'!$B:$AA,2,FALSE),"")</f>
        <v>VEB033EA</v>
      </c>
      <c r="J24" s="34" t="str">
        <f>IFERROR(VLOOKUP($D24,'Master Sheet'!$B:$AA,5,FALSE),"")</f>
        <v>4960759903143</v>
      </c>
      <c r="K24" s="35">
        <f>IFERROR(VLOOKUP($D24,'Master Sheet'!$B:$AA,8,FALSE),"")</f>
        <v>1736.9550000000002</v>
      </c>
      <c r="M24" s="9"/>
    </row>
    <row r="25" spans="1:13" x14ac:dyDescent="0.25">
      <c r="A25" s="10"/>
      <c r="B25" s="31"/>
      <c r="C25" s="31"/>
      <c r="D25" s="32" t="s">
        <v>81</v>
      </c>
      <c r="E25" s="33"/>
      <c r="F25" s="2"/>
      <c r="G25" s="17" t="str">
        <f>IFERROR(VLOOKUP($D25,'Master Sheet'!$B:$AA,3,FALSE),"")</f>
        <v>EN-EL20A RECHARGEABLE LI-ION BATTERY</v>
      </c>
      <c r="H25" s="2"/>
      <c r="I25" s="2" t="str">
        <f>IFERROR(VLOOKUP($D25,'Master Sheet'!$B:$AA,2,FALSE),"")</f>
        <v>VFB11603</v>
      </c>
      <c r="J25" s="34" t="str">
        <f>IFERROR(VLOOKUP($D25,'Master Sheet'!$B:$AA,5,FALSE),"")</f>
        <v>018208037674</v>
      </c>
      <c r="K25" s="35">
        <f>IFERROR(VLOOKUP($D25,'Master Sheet'!$B:$AA,8,FALSE),"")</f>
        <v>989.95500000000004</v>
      </c>
      <c r="M25" s="9"/>
    </row>
    <row r="26" spans="1:13" x14ac:dyDescent="0.25">
      <c r="A26" s="10"/>
      <c r="B26" s="31"/>
      <c r="C26" s="31"/>
      <c r="D26" s="32" t="s">
        <v>533</v>
      </c>
      <c r="E26" s="33"/>
      <c r="F26" s="2"/>
      <c r="G26" s="17" t="str">
        <f>IFERROR(VLOOKUP($D26,'Master Sheet'!$B:$AA,3,FALSE),"")</f>
        <v>67mm Z-Series Lens Cap</v>
      </c>
      <c r="H26" s="2"/>
      <c r="I26" s="2" t="str">
        <f>IFERROR(VLOOKUP($D26,'Master Sheet'!$B:$AA,2,FALSE),"")</f>
        <v>JMD00701</v>
      </c>
      <c r="J26" s="34" t="str">
        <f>IFERROR(VLOOKUP($D26,'Master Sheet'!$B:$AA,5,FALSE),"")</f>
        <v>018208042302</v>
      </c>
      <c r="K26" s="35">
        <f>IFERROR(VLOOKUP($D26,'Master Sheet'!$B:$AA,8,FALSE),"")</f>
        <v>161.95499999999998</v>
      </c>
      <c r="M26" s="9"/>
    </row>
    <row r="27" spans="1:13" ht="38.25" x14ac:dyDescent="0.25">
      <c r="A27" s="10"/>
      <c r="B27" s="31"/>
      <c r="C27" s="31"/>
      <c r="D27" s="32" t="s">
        <v>32</v>
      </c>
      <c r="E27" s="33"/>
      <c r="F27" s="2"/>
      <c r="G27" s="17" t="str">
        <f>IFERROR(VLOOKUP($D27,'Master Sheet'!$B:$AA,3,FALSE),"")</f>
        <v>MC-DC2 REMOTE CORD - D610/D600/D7100/D7000/D5300/D5200/D3300/D3200/D3100</v>
      </c>
      <c r="H27" s="2"/>
      <c r="I27" s="2" t="str">
        <f>IFERROR(VLOOKUP($D27,'Master Sheet'!$B:$AA,2,FALSE),"")</f>
        <v>VDR00101</v>
      </c>
      <c r="J27" s="34" t="str">
        <f>IFERROR(VLOOKUP($D27,'Master Sheet'!$B:$AA,5,FALSE),"")</f>
        <v>018208253951</v>
      </c>
      <c r="K27" s="35">
        <f>IFERROR(VLOOKUP($D27,'Master Sheet'!$B:$AA,8,FALSE),"")</f>
        <v>431.95499999999998</v>
      </c>
      <c r="M27" s="9"/>
    </row>
    <row r="28" spans="1:13" x14ac:dyDescent="0.25">
      <c r="A28" s="10"/>
      <c r="B28" s="31"/>
      <c r="C28" s="31"/>
      <c r="D28" s="32" t="s">
        <v>27</v>
      </c>
      <c r="E28" s="33"/>
      <c r="F28" s="2"/>
      <c r="G28" s="17" t="str">
        <f>IFERROR(VLOOKUP($D28,'Master Sheet'!$B:$AA,3,FALSE),"")</f>
        <v>ME-1 STEREO MICROPHONE</v>
      </c>
      <c r="H28" s="2"/>
      <c r="I28" s="2" t="str">
        <f>IFERROR(VLOOKUP($D28,'Master Sheet'!$B:$AA,2,FALSE),"")</f>
        <v>VBW30001</v>
      </c>
      <c r="J28" s="34" t="str">
        <f>IFERROR(VLOOKUP($D28,'Master Sheet'!$B:$AA,5,FALSE),"")</f>
        <v>018208270453</v>
      </c>
      <c r="K28" s="35">
        <f>IFERROR(VLOOKUP($D28,'Master Sheet'!$B:$AA,8,FALSE),"")</f>
        <v>3464.9549999999999</v>
      </c>
      <c r="M28" s="9"/>
    </row>
    <row r="29" spans="1:13" x14ac:dyDescent="0.25">
      <c r="A29" s="10"/>
      <c r="B29" s="31"/>
      <c r="C29" s="31"/>
      <c r="D29" s="32" t="s">
        <v>86</v>
      </c>
      <c r="E29" s="33"/>
      <c r="F29" s="2"/>
      <c r="G29" s="17" t="str">
        <f>IFERROR(VLOOKUP($D29,'Master Sheet'!$B:$AA,3,FALSE),"")</f>
        <v>ML-L7 REMOTE CONTROL</v>
      </c>
      <c r="H29" s="2"/>
      <c r="I29" s="2" t="str">
        <f>IFERROR(VLOOKUP($D29,'Master Sheet'!$B:$AA,2,FALSE),"")</f>
        <v>VAJ57201</v>
      </c>
      <c r="J29" s="34" t="str">
        <f>IFERROR(VLOOKUP($D29,'Master Sheet'!$B:$AA,5,FALSE),"")</f>
        <v>018208259526</v>
      </c>
      <c r="K29" s="35">
        <f>IFERROR(VLOOKUP($D29,'Master Sheet'!$B:$AA,8,FALSE),"")</f>
        <v>800.95500000000004</v>
      </c>
      <c r="M29" s="9"/>
    </row>
    <row r="30" spans="1:13" x14ac:dyDescent="0.25">
      <c r="A30" s="10"/>
      <c r="B30" s="31"/>
      <c r="C30" s="31"/>
      <c r="D30" s="32" t="s">
        <v>67</v>
      </c>
      <c r="E30" s="33"/>
      <c r="F30" s="2"/>
      <c r="G30" s="17" t="str">
        <f>IFERROR(VLOOKUP($D30,'Master Sheet'!$B:$AA,3,FALSE),"")</f>
        <v>67MM FILTER NC NEUTRAL COLOUR</v>
      </c>
      <c r="H30" s="2"/>
      <c r="I30" s="2" t="str">
        <f>IFERROR(VLOOKUP($D30,'Master Sheet'!$B:$AA,2,FALSE),"")</f>
        <v>FTA13101</v>
      </c>
      <c r="J30" s="34" t="str">
        <f>IFERROR(VLOOKUP($D30,'Master Sheet'!$B:$AA,5,FALSE),"")</f>
        <v>018208022885</v>
      </c>
      <c r="K30" s="35">
        <f>IFERROR(VLOOKUP($D30,'Master Sheet'!$B:$AA,8,FALSE),"")</f>
        <v>863.95500000000004</v>
      </c>
      <c r="M30" s="9"/>
    </row>
    <row r="31" spans="1:13" ht="25.5" x14ac:dyDescent="0.25">
      <c r="A31" s="10"/>
      <c r="B31" s="31"/>
      <c r="C31" s="31"/>
      <c r="D31" s="32" t="s">
        <v>101</v>
      </c>
      <c r="E31" s="33"/>
      <c r="F31" s="2"/>
      <c r="G31" s="17" t="str">
        <f>IFERROR(VLOOKUP($D31,'Master Sheet'!$B:$AA,3,FALSE),"")</f>
        <v>UC-E21 USB CABLE (P900/AW130/120/S9900/9700/9600/P610/600)</v>
      </c>
      <c r="H31" s="2"/>
      <c r="I31" s="2" t="str">
        <f>IFERROR(VLOOKUP($D31,'Master Sheet'!$B:$AA,2,FALSE),"")</f>
        <v>VDU01301</v>
      </c>
      <c r="J31" s="34" t="str">
        <f>IFERROR(VLOOKUP($D31,'Master Sheet'!$B:$AA,5,FALSE),"")</f>
        <v>018208258857</v>
      </c>
      <c r="K31" s="35">
        <f>IFERROR(VLOOKUP($D31,'Master Sheet'!$B:$AA,8,FALSE),"")</f>
        <v>242.95499999999998</v>
      </c>
      <c r="M31" s="9"/>
    </row>
    <row r="32" spans="1:13" x14ac:dyDescent="0.25">
      <c r="A32" s="10"/>
      <c r="B32" s="31"/>
      <c r="C32" s="31"/>
      <c r="D32" s="32"/>
      <c r="E32" s="33"/>
      <c r="F32" s="2"/>
      <c r="H32" s="2"/>
      <c r="J32" s="34"/>
      <c r="K32" s="35"/>
      <c r="M32" s="9"/>
    </row>
    <row r="33" spans="1:13" x14ac:dyDescent="0.25">
      <c r="A33" s="10"/>
      <c r="B33" s="31"/>
      <c r="C33" s="31"/>
      <c r="D33" s="32"/>
      <c r="E33" s="33"/>
      <c r="F33" s="2"/>
      <c r="H33" s="2"/>
      <c r="J33" s="34"/>
      <c r="K33" s="35"/>
      <c r="M33" s="9"/>
    </row>
    <row r="34" spans="1:13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</sheetData>
  <mergeCells count="1">
    <mergeCell ref="G16:K16"/>
  </mergeCells>
  <pageMargins left="0.25" right="0.25" top="0.75" bottom="0.75" header="0.3" footer="0.3"/>
  <pageSetup paperSize="9" scale="76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M198"/>
  <sheetViews>
    <sheetView showGridLines="0" showRowColHeaders="0" topLeftCell="A35" zoomScale="85" zoomScaleNormal="85" workbookViewId="0">
      <selection activeCell="K22" sqref="K22"/>
    </sheetView>
  </sheetViews>
  <sheetFormatPr defaultColWidth="8.85546875" defaultRowHeight="12.75" x14ac:dyDescent="0.25"/>
  <cols>
    <col min="1" max="3" width="3.42578125" style="5" customWidth="1"/>
    <col min="4" max="4" width="16.85546875" style="2" customWidth="1"/>
    <col min="5" max="6" width="3.42578125" style="5" customWidth="1"/>
    <col min="7" max="7" width="41.5703125" style="2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11"/>
      <c r="E1" s="11"/>
      <c r="F1" s="11"/>
      <c r="G1" s="4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32"/>
      <c r="E2" s="33"/>
      <c r="F2" s="8"/>
      <c r="G2" s="77"/>
      <c r="H2" s="8"/>
      <c r="J2" s="34"/>
      <c r="K2" s="35"/>
      <c r="M2" s="7"/>
    </row>
    <row r="3" spans="1:13" x14ac:dyDescent="0.25">
      <c r="A3" s="10"/>
      <c r="B3" s="31"/>
      <c r="C3" s="31"/>
      <c r="D3" s="32"/>
      <c r="E3" s="33"/>
      <c r="F3" s="8"/>
      <c r="G3" s="77"/>
      <c r="H3" s="8"/>
      <c r="J3" s="34"/>
      <c r="K3" s="35"/>
      <c r="M3" s="7"/>
    </row>
    <row r="4" spans="1:13" x14ac:dyDescent="0.25">
      <c r="A4" s="10"/>
      <c r="B4" s="31"/>
      <c r="C4" s="31"/>
      <c r="D4" s="32"/>
      <c r="E4" s="33"/>
      <c r="F4" s="8"/>
      <c r="G4" s="77"/>
      <c r="H4" s="8"/>
      <c r="J4" s="34"/>
      <c r="K4" s="35"/>
      <c r="M4" s="7"/>
    </row>
    <row r="5" spans="1:13" x14ac:dyDescent="0.25">
      <c r="A5" s="10"/>
      <c r="B5" s="31"/>
      <c r="C5" s="31"/>
      <c r="D5" s="32"/>
      <c r="E5" s="33"/>
      <c r="F5" s="8"/>
      <c r="G5" s="77"/>
      <c r="H5" s="8"/>
      <c r="J5" s="34"/>
      <c r="K5" s="35"/>
      <c r="M5" s="7"/>
    </row>
    <row r="6" spans="1:13" x14ac:dyDescent="0.25">
      <c r="A6" s="10"/>
      <c r="B6" s="31"/>
      <c r="C6" s="31"/>
      <c r="D6" s="32"/>
      <c r="E6" s="33"/>
      <c r="F6" s="8"/>
      <c r="G6" s="77"/>
      <c r="H6" s="8"/>
      <c r="J6" s="34"/>
      <c r="K6" s="35"/>
      <c r="M6" s="7"/>
    </row>
    <row r="7" spans="1:13" x14ac:dyDescent="0.25">
      <c r="A7" s="10"/>
      <c r="B7" s="31"/>
      <c r="C7" s="31"/>
      <c r="D7" s="32"/>
      <c r="E7" s="33"/>
      <c r="F7" s="8"/>
      <c r="G7" s="77"/>
      <c r="H7" s="8"/>
      <c r="J7" s="34"/>
      <c r="K7" s="35"/>
      <c r="M7" s="7"/>
    </row>
    <row r="8" spans="1:13" x14ac:dyDescent="0.25">
      <c r="A8" s="10"/>
      <c r="B8" s="31"/>
      <c r="C8" s="31"/>
      <c r="D8" s="32"/>
      <c r="E8" s="33"/>
      <c r="F8" s="8"/>
      <c r="G8" s="77"/>
      <c r="H8" s="8"/>
      <c r="J8" s="34"/>
      <c r="K8" s="35"/>
      <c r="M8" s="7"/>
    </row>
    <row r="9" spans="1:13" x14ac:dyDescent="0.25">
      <c r="A9" s="10"/>
      <c r="B9" s="31"/>
      <c r="C9" s="31"/>
      <c r="D9" s="32"/>
      <c r="E9" s="33"/>
      <c r="F9" s="8"/>
      <c r="G9" s="77"/>
      <c r="H9" s="8"/>
      <c r="J9" s="34"/>
      <c r="K9" s="35"/>
      <c r="M9" s="7"/>
    </row>
    <row r="10" spans="1:13" x14ac:dyDescent="0.25">
      <c r="A10" s="10"/>
      <c r="B10" s="31"/>
      <c r="C10" s="31"/>
      <c r="D10" s="32"/>
      <c r="E10" s="33"/>
      <c r="F10" s="8"/>
      <c r="G10" s="77"/>
      <c r="H10" s="8"/>
      <c r="J10" s="34"/>
      <c r="K10" s="35"/>
      <c r="M10" s="7"/>
    </row>
    <row r="11" spans="1:13" x14ac:dyDescent="0.25">
      <c r="A11" s="10"/>
      <c r="B11" s="31"/>
      <c r="C11" s="31"/>
      <c r="D11" s="32"/>
      <c r="E11" s="33"/>
      <c r="F11" s="8"/>
      <c r="G11" s="77"/>
      <c r="H11" s="8"/>
      <c r="J11" s="34"/>
      <c r="K11" s="35"/>
      <c r="M11" s="9"/>
    </row>
    <row r="12" spans="1:13" x14ac:dyDescent="0.25">
      <c r="A12" s="10"/>
      <c r="B12" s="31"/>
      <c r="C12" s="31"/>
      <c r="D12" s="32"/>
      <c r="E12" s="33"/>
      <c r="F12" s="8"/>
      <c r="G12" s="77"/>
      <c r="H12" s="8"/>
      <c r="J12" s="34"/>
      <c r="K12" s="35"/>
      <c r="M12" s="9"/>
    </row>
    <row r="13" spans="1:13" x14ac:dyDescent="0.25">
      <c r="A13" s="10"/>
      <c r="B13" s="31"/>
      <c r="C13" s="31"/>
      <c r="D13" s="32"/>
      <c r="E13" s="33"/>
      <c r="F13" s="8"/>
      <c r="G13" s="77"/>
      <c r="H13" s="8"/>
      <c r="J13" s="34"/>
      <c r="K13" s="35"/>
      <c r="M13" s="9"/>
    </row>
    <row r="14" spans="1:13" x14ac:dyDescent="0.25">
      <c r="A14" s="10"/>
      <c r="B14" s="31"/>
      <c r="C14" s="31"/>
      <c r="D14" s="32"/>
      <c r="E14" s="33"/>
      <c r="F14" s="8"/>
      <c r="G14" s="77"/>
      <c r="H14" s="8"/>
      <c r="J14" s="34"/>
      <c r="K14" s="35"/>
      <c r="M14" s="9"/>
    </row>
    <row r="15" spans="1:13" x14ac:dyDescent="0.25">
      <c r="A15" s="10"/>
      <c r="B15" s="31"/>
      <c r="C15" s="31"/>
      <c r="D15" s="32"/>
      <c r="E15" s="33"/>
      <c r="F15" s="8"/>
      <c r="G15" s="77"/>
      <c r="H15" s="8"/>
      <c r="J15" s="34"/>
      <c r="K15" s="35"/>
      <c r="M15" s="9"/>
    </row>
    <row r="16" spans="1:13" x14ac:dyDescent="0.25">
      <c r="A16" s="10"/>
      <c r="B16" s="31"/>
      <c r="C16" s="31"/>
      <c r="D16" s="32"/>
      <c r="E16" s="33"/>
      <c r="F16" s="8"/>
      <c r="G16" s="77"/>
      <c r="H16" s="8"/>
      <c r="J16" s="34"/>
      <c r="K16" s="35"/>
      <c r="M16" s="9"/>
    </row>
    <row r="17" spans="1:13" x14ac:dyDescent="0.25">
      <c r="A17" s="10"/>
      <c r="B17" s="31"/>
      <c r="C17" s="31"/>
      <c r="D17" s="32"/>
      <c r="E17" s="33"/>
      <c r="F17" s="8"/>
      <c r="G17" s="77"/>
      <c r="H17" s="8"/>
      <c r="J17" s="34"/>
      <c r="K17" s="35"/>
      <c r="M17" s="9"/>
    </row>
    <row r="18" spans="1:13" x14ac:dyDescent="0.25">
      <c r="A18" s="10"/>
      <c r="B18" s="31"/>
      <c r="C18" s="31"/>
      <c r="D18" s="32"/>
      <c r="E18" s="33"/>
      <c r="F18" s="8"/>
      <c r="G18" s="77"/>
      <c r="H18" s="8"/>
      <c r="J18" s="34"/>
      <c r="K18" s="35"/>
      <c r="M18" s="9"/>
    </row>
    <row r="19" spans="1:13" ht="13.5" thickBot="1" x14ac:dyDescent="0.3">
      <c r="A19" s="10"/>
      <c r="B19" s="31"/>
      <c r="C19" s="31"/>
      <c r="D19" s="32"/>
      <c r="E19" s="33"/>
      <c r="F19" s="8"/>
      <c r="G19" s="77"/>
      <c r="H19" s="8"/>
      <c r="J19" s="34"/>
      <c r="K19" s="35"/>
      <c r="M19" s="9"/>
    </row>
    <row r="20" spans="1:13" ht="13.5" thickBot="1" x14ac:dyDescent="0.3">
      <c r="A20" s="10"/>
      <c r="B20" s="31"/>
      <c r="C20" s="31"/>
      <c r="D20" s="31"/>
      <c r="E20" s="36"/>
      <c r="F20" s="8"/>
      <c r="G20" s="90" t="s">
        <v>301</v>
      </c>
      <c r="H20" s="91"/>
      <c r="I20" s="91"/>
      <c r="J20" s="91"/>
      <c r="K20" s="92"/>
      <c r="M20" s="9"/>
    </row>
    <row r="21" spans="1:13" ht="13.5" thickBot="1" x14ac:dyDescent="0.3">
      <c r="A21" s="10"/>
      <c r="B21" s="31"/>
      <c r="C21" s="31"/>
      <c r="D21" s="38"/>
      <c r="E21" s="36"/>
      <c r="F21" s="8"/>
      <c r="G21" s="77"/>
      <c r="H21" s="8"/>
      <c r="J21" s="34"/>
      <c r="K21" s="35"/>
      <c r="M21" s="9"/>
    </row>
    <row r="22" spans="1:13" ht="13.5" thickBot="1" x14ac:dyDescent="0.3">
      <c r="A22" s="10"/>
      <c r="B22" s="31"/>
      <c r="C22" s="39" t="s">
        <v>48</v>
      </c>
      <c r="D22" s="40"/>
      <c r="E22" s="40"/>
      <c r="F22" s="55"/>
      <c r="G22" s="42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3" x14ac:dyDescent="0.25">
      <c r="A23" s="10"/>
      <c r="B23" s="31"/>
      <c r="C23" s="31"/>
      <c r="D23" s="32"/>
      <c r="E23" s="33"/>
      <c r="F23" s="2"/>
      <c r="H23" s="2"/>
      <c r="J23" s="34"/>
      <c r="K23" s="35"/>
      <c r="M23" s="9"/>
    </row>
    <row r="24" spans="1:13" ht="25.5" x14ac:dyDescent="0.25">
      <c r="A24" s="10"/>
      <c r="B24" s="31"/>
      <c r="C24" s="31"/>
      <c r="D24" s="32" t="s">
        <v>783</v>
      </c>
      <c r="E24" s="33"/>
      <c r="F24" s="2"/>
      <c r="G24" s="17" t="str">
        <f>IFERROR(VLOOKUP($D24,'Master Sheet'!$B:$AA,3,FALSE),"")</f>
        <v>Nikon Shoulder Bag Black 0301-2204I - Black NIKON logo</v>
      </c>
      <c r="H24" s="2"/>
      <c r="I24" s="2">
        <f>IFERROR(VLOOKUP($D24,'Master Sheet'!$B:$AA,2,FALSE),"")</f>
        <v>0</v>
      </c>
      <c r="J24" s="34" t="str">
        <f>IFERROR(VLOOKUP($D24,'Master Sheet'!$B:$AA,5,FALSE),"")</f>
        <v>No Barcode</v>
      </c>
      <c r="K24" s="35">
        <f>IFERROR(VLOOKUP($D24,'Master Sheet'!$B:$AA,8,FALSE),"")</f>
        <v>296.95499999999998</v>
      </c>
      <c r="M24" s="9"/>
    </row>
    <row r="25" spans="1:13" x14ac:dyDescent="0.25">
      <c r="A25" s="10"/>
      <c r="B25" s="31"/>
      <c r="C25" s="31"/>
      <c r="D25" s="32" t="s">
        <v>389</v>
      </c>
      <c r="E25" s="33"/>
      <c r="F25" s="2"/>
      <c r="G25" s="17" t="str">
        <f>IFERROR(VLOOKUP($D25,'Master Sheet'!$B:$AA,3,FALSE),"")</f>
        <v>BF-N2 Teleconverter Cap (Z-Series)</v>
      </c>
      <c r="H25" s="2"/>
      <c r="I25" s="2" t="str">
        <f>IFERROR(VLOOKUP($D25,'Master Sheet'!$B:$AA,2,FALSE),"")</f>
        <v>JMD01201</v>
      </c>
      <c r="J25" s="34" t="str">
        <f>IFERROR(VLOOKUP($D25,'Master Sheet'!$B:$AA,5,FALSE),"")</f>
        <v>018208042500</v>
      </c>
      <c r="K25" s="35">
        <f>IFERROR(VLOOKUP($D25,'Master Sheet'!$B:$AA,8,FALSE),"")</f>
        <v>125.955</v>
      </c>
      <c r="M25" s="9"/>
    </row>
    <row r="26" spans="1:13" x14ac:dyDescent="0.25">
      <c r="A26" s="10"/>
      <c r="B26" s="31"/>
      <c r="C26" s="31"/>
      <c r="D26" s="32" t="s">
        <v>512</v>
      </c>
      <c r="E26" s="33"/>
      <c r="F26" s="2"/>
      <c r="G26" s="17" t="str">
        <f>IFERROR(VLOOKUP($D26,'Master Sheet'!$B:$AA,3,FALSE),"")</f>
        <v>112MM CPL 2 FILTER</v>
      </c>
      <c r="H26" s="2"/>
      <c r="I26" s="2" t="str">
        <f>IFERROR(VLOOKUP($D26,'Master Sheet'!$B:$AA,2,FALSE),"")</f>
        <v>FTA71201</v>
      </c>
      <c r="J26" s="34" t="str">
        <f>IFERROR(VLOOKUP($D26,'Master Sheet'!$B:$AA,5,FALSE),"")</f>
        <v>No Barcode</v>
      </c>
      <c r="K26" s="35">
        <f>IFERROR(VLOOKUP($D26,'Master Sheet'!$B:$AA,8,FALSE),"")</f>
        <v>12248.955000000002</v>
      </c>
      <c r="M26" s="9"/>
    </row>
    <row r="27" spans="1:13" x14ac:dyDescent="0.25">
      <c r="A27" s="10"/>
      <c r="B27" s="31"/>
      <c r="C27" s="31"/>
      <c r="D27" s="32" t="s">
        <v>72</v>
      </c>
      <c r="E27" s="33"/>
      <c r="F27" s="2"/>
      <c r="G27" s="17" t="str">
        <f>IFERROR(VLOOKUP($D27,'Master Sheet'!$B:$AA,3,FALSE),"")</f>
        <v xml:space="preserve">52MM FILTER C-PL II             </v>
      </c>
      <c r="H27" s="2"/>
      <c r="I27" s="2" t="str">
        <f>IFERROR(VLOOKUP($D27,'Master Sheet'!$B:$AA,2,FALSE),"")</f>
        <v>FTA08001</v>
      </c>
      <c r="J27" s="34" t="str">
        <f>IFERROR(VLOOKUP($D27,'Master Sheet'!$B:$AA,5,FALSE),"")</f>
        <v>018208022335</v>
      </c>
      <c r="K27" s="35">
        <f>IFERROR(VLOOKUP($D27,'Master Sheet'!$B:$AA,8,FALSE),"")</f>
        <v>1736.9550000000002</v>
      </c>
      <c r="M27" s="9"/>
    </row>
    <row r="28" spans="1:13" x14ac:dyDescent="0.25">
      <c r="A28" s="10"/>
      <c r="B28" s="31"/>
      <c r="C28" s="31"/>
      <c r="D28" s="32" t="s">
        <v>66</v>
      </c>
      <c r="E28" s="33"/>
      <c r="F28" s="2"/>
      <c r="G28" s="17" t="str">
        <f>IFERROR(VLOOKUP($D28,'Master Sheet'!$B:$AA,3,FALSE),"")</f>
        <v xml:space="preserve">58MM C-PL II FILTER                     </v>
      </c>
      <c r="H28" s="2"/>
      <c r="I28" s="2" t="str">
        <f>IFERROR(VLOOKUP($D28,'Master Sheet'!$B:$AA,2,FALSE),"")</f>
        <v>FTA70301</v>
      </c>
      <c r="J28" s="34" t="str">
        <f>IFERROR(VLOOKUP($D28,'Master Sheet'!$B:$AA,5,FALSE),"")</f>
        <v>018208022366</v>
      </c>
      <c r="K28" s="35">
        <f>IFERROR(VLOOKUP($D28,'Master Sheet'!$B:$AA,8,FALSE),"")</f>
        <v>2258.9549999999999</v>
      </c>
      <c r="M28" s="9"/>
    </row>
    <row r="29" spans="1:13" x14ac:dyDescent="0.25">
      <c r="A29" s="10"/>
      <c r="B29" s="31"/>
      <c r="C29" s="31"/>
      <c r="D29" s="32" t="s">
        <v>70</v>
      </c>
      <c r="E29" s="33"/>
      <c r="F29" s="2"/>
      <c r="G29" s="17" t="str">
        <f>IFERROR(VLOOKUP($D29,'Master Sheet'!$B:$AA,3,FALSE),"")</f>
        <v xml:space="preserve">62MM C-PL II FILTER                  </v>
      </c>
      <c r="H29" s="2"/>
      <c r="I29" s="2" t="str">
        <f>IFERROR(VLOOKUP($D29,'Master Sheet'!$B:$AA,2,FALSE),"")</f>
        <v>FTA11501</v>
      </c>
      <c r="J29" s="34" t="str">
        <f>IFERROR(VLOOKUP($D29,'Master Sheet'!$B:$AA,5,FALSE),"")</f>
        <v>018208022526</v>
      </c>
      <c r="K29" s="35">
        <f>IFERROR(VLOOKUP($D29,'Master Sheet'!$B:$AA,8,FALSE),"")</f>
        <v>2447.9549999999999</v>
      </c>
      <c r="M29" s="9"/>
    </row>
    <row r="30" spans="1:13" x14ac:dyDescent="0.25">
      <c r="A30" s="10"/>
      <c r="B30" s="31"/>
      <c r="C30" s="31"/>
      <c r="D30" s="32" t="s">
        <v>68</v>
      </c>
      <c r="E30" s="33"/>
      <c r="F30" s="2"/>
      <c r="G30" s="17" t="str">
        <f>IFERROR(VLOOKUP($D30,'Master Sheet'!$B:$AA,3,FALSE),"")</f>
        <v xml:space="preserve">67MM FILTER C-PL II             </v>
      </c>
      <c r="H30" s="2"/>
      <c r="I30" s="2" t="str">
        <f>IFERROR(VLOOKUP($D30,'Master Sheet'!$B:$AA,2,FALSE),"")</f>
        <v>FTA13201</v>
      </c>
      <c r="J30" s="34" t="str">
        <f>IFERROR(VLOOKUP($D30,'Master Sheet'!$B:$AA,5,FALSE),"")</f>
        <v>018208022557</v>
      </c>
      <c r="K30" s="35">
        <f>IFERROR(VLOOKUP($D30,'Master Sheet'!$B:$AA,8,FALSE),"")</f>
        <v>2798.9549999999999</v>
      </c>
      <c r="M30" s="9"/>
    </row>
    <row r="31" spans="1:13" x14ac:dyDescent="0.25">
      <c r="A31" s="10"/>
      <c r="B31" s="31"/>
      <c r="C31" s="31"/>
      <c r="D31" s="32" t="s">
        <v>62</v>
      </c>
      <c r="E31" s="33"/>
      <c r="F31" s="2"/>
      <c r="G31" s="17" t="str">
        <f>IFERROR(VLOOKUP($D31,'Master Sheet'!$B:$AA,3,FALSE),"")</f>
        <v xml:space="preserve">72MM FILTER C-PL II                     </v>
      </c>
      <c r="H31" s="2"/>
      <c r="I31" s="2" t="str">
        <f>IFERROR(VLOOKUP($D31,'Master Sheet'!$B:$AA,2,FALSE),"")</f>
        <v>FTA16701</v>
      </c>
      <c r="J31" s="34" t="str">
        <f>IFERROR(VLOOKUP($D31,'Master Sheet'!$B:$AA,5,FALSE),"")</f>
        <v>018208022571</v>
      </c>
      <c r="K31" s="35">
        <f>IFERROR(VLOOKUP($D31,'Master Sheet'!$B:$AA,8,FALSE),"")</f>
        <v>3059.9549999999999</v>
      </c>
      <c r="M31" s="9"/>
    </row>
    <row r="32" spans="1:13" x14ac:dyDescent="0.25">
      <c r="A32" s="10"/>
      <c r="B32" s="31"/>
      <c r="C32" s="31"/>
      <c r="D32" s="32" t="s">
        <v>64</v>
      </c>
      <c r="E32" s="33"/>
      <c r="F32" s="2"/>
      <c r="G32" s="17" t="str">
        <f>IFERROR(VLOOKUP($D32,'Master Sheet'!$B:$AA,3,FALSE),"")</f>
        <v>77MM FILTER C-PL II</v>
      </c>
      <c r="H32" s="2"/>
      <c r="I32" s="2" t="str">
        <f>IFERROR(VLOOKUP($D32,'Master Sheet'!$B:$AA,2,FALSE),"")</f>
        <v>FTA61001</v>
      </c>
      <c r="J32" s="34" t="str">
        <f>IFERROR(VLOOKUP($D32,'Master Sheet'!$B:$AA,5,FALSE),"")</f>
        <v>018208022601</v>
      </c>
      <c r="K32" s="35">
        <f>IFERROR(VLOOKUP($D32,'Master Sheet'!$B:$AA,8,FALSE),"")</f>
        <v>3680.9549999999999</v>
      </c>
      <c r="M32" s="9"/>
    </row>
    <row r="33" spans="1:13" x14ac:dyDescent="0.25">
      <c r="A33" s="10"/>
      <c r="B33" s="31"/>
      <c r="C33" s="31"/>
      <c r="D33" s="32" t="s">
        <v>74</v>
      </c>
      <c r="E33" s="33"/>
      <c r="F33" s="2"/>
      <c r="G33" s="17" t="str">
        <f>IFERROR(VLOOKUP($D33,'Master Sheet'!$B:$AA,3,FALSE),"")</f>
        <v xml:space="preserve">82MM FILTER C-PL II </v>
      </c>
      <c r="H33" s="2"/>
      <c r="I33" s="2" t="str">
        <f>IFERROR(VLOOKUP($D33,'Master Sheet'!$B:$AA,2,FALSE),"")</f>
        <v>FTA70501</v>
      </c>
      <c r="J33" s="34" t="str">
        <f>IFERROR(VLOOKUP($D33,'Master Sheet'!$B:$AA,5,FALSE),"")</f>
        <v>018208024988</v>
      </c>
      <c r="K33" s="35">
        <f>IFERROR(VLOOKUP($D33,'Master Sheet'!$B:$AA,8,FALSE),"")</f>
        <v>3680.9549999999999</v>
      </c>
      <c r="M33" s="9"/>
    </row>
    <row r="34" spans="1:13" x14ac:dyDescent="0.25">
      <c r="A34" s="10"/>
      <c r="B34" s="31"/>
      <c r="C34" s="31"/>
      <c r="D34" s="32" t="s">
        <v>80</v>
      </c>
      <c r="E34" s="33"/>
      <c r="F34" s="2"/>
      <c r="G34" s="17" t="str">
        <f>IFERROR(VLOOKUP($D34,'Master Sheet'!$B:$AA,3,FALSE),"")</f>
        <v xml:space="preserve">95MM FILTER C-PL II             </v>
      </c>
      <c r="H34" s="2"/>
      <c r="I34" s="2" t="str">
        <f>IFERROR(VLOOKUP($D34,'Master Sheet'!$B:$AA,2,FALSE),"")</f>
        <v>FTA70701</v>
      </c>
      <c r="J34" s="34" t="str">
        <f>IFERROR(VLOOKUP($D34,'Master Sheet'!$B:$AA,5,FALSE),"")</f>
        <v>018208025091</v>
      </c>
      <c r="K34" s="35">
        <f>IFERROR(VLOOKUP($D34,'Master Sheet'!$B:$AA,8,FALSE),"")</f>
        <v>8477.9550000000017</v>
      </c>
      <c r="M34" s="9"/>
    </row>
    <row r="35" spans="1:13" x14ac:dyDescent="0.25">
      <c r="A35" s="10"/>
      <c r="B35" s="31"/>
      <c r="C35" s="31"/>
      <c r="D35" s="32" t="s">
        <v>272</v>
      </c>
      <c r="E35" s="33"/>
      <c r="F35" s="2"/>
      <c r="G35" s="17" t="str">
        <f>IFERROR(VLOOKUP($D35,'Master Sheet'!$B:$AA,3,FALSE),"")</f>
        <v>AC Adapter EH-5d</v>
      </c>
      <c r="H35" s="2"/>
      <c r="I35" s="2" t="str">
        <f>IFERROR(VLOOKUP($D35,'Master Sheet'!$B:$AA,2,FALSE),"")</f>
        <v>VEB033EA</v>
      </c>
      <c r="J35" s="34" t="str">
        <f>IFERROR(VLOOKUP($D35,'Master Sheet'!$B:$AA,5,FALSE),"")</f>
        <v>4960759903143</v>
      </c>
      <c r="K35" s="35">
        <f>IFERROR(VLOOKUP($D35,'Master Sheet'!$B:$AA,8,FALSE),"")</f>
        <v>1736.9550000000002</v>
      </c>
      <c r="M35" s="9"/>
    </row>
    <row r="36" spans="1:13" x14ac:dyDescent="0.25">
      <c r="A36" s="10"/>
      <c r="B36" s="31"/>
      <c r="C36" s="31"/>
      <c r="D36" s="32" t="s">
        <v>477</v>
      </c>
      <c r="E36" s="33"/>
      <c r="F36" s="2"/>
      <c r="G36" s="17" t="str">
        <f>IFERROR(VLOOKUP($D36,'Master Sheet'!$B:$AA,3,FALSE),"")</f>
        <v>AC ADAPTER EH-6D</v>
      </c>
      <c r="H36" s="2"/>
      <c r="I36" s="2" t="str">
        <f>IFERROR(VLOOKUP($D36,'Master Sheet'!$B:$AA,2,FALSE),"")</f>
        <v>VEB036EA</v>
      </c>
      <c r="J36" s="34" t="str">
        <f>IFERROR(VLOOKUP($D36,'Master Sheet'!$B:$AA,5,FALSE),"")</f>
        <v>4960759909183</v>
      </c>
      <c r="K36" s="35">
        <f>IFERROR(VLOOKUP($D36,'Master Sheet'!$B:$AA,8,FALSE),"")</f>
        <v>4715.9549999999999</v>
      </c>
      <c r="M36" s="9"/>
    </row>
    <row r="37" spans="1:13" x14ac:dyDescent="0.25">
      <c r="A37" s="10"/>
      <c r="B37" s="31"/>
      <c r="C37" s="31"/>
      <c r="D37" s="32" t="s">
        <v>367</v>
      </c>
      <c r="E37" s="33"/>
      <c r="F37" s="2"/>
      <c r="G37" s="17" t="str">
        <f>IFERROR(VLOOKUP($D37,'Master Sheet'!$B:$AA,3,FALSE),"")</f>
        <v>EN-EL15C RECHARGEABLE LI-ION BATTERY</v>
      </c>
      <c r="H37" s="2"/>
      <c r="I37" s="2" t="str">
        <f>IFERROR(VLOOKUP($D37,'Master Sheet'!$B:$AA,2,FALSE),"")</f>
        <v>VFB12802</v>
      </c>
      <c r="J37" s="34" t="str">
        <f>IFERROR(VLOOKUP($D37,'Master Sheet'!$B:$AA,5,FALSE),"")</f>
        <v>4960759904393</v>
      </c>
      <c r="K37" s="35">
        <f>IFERROR(VLOOKUP($D37,'Master Sheet'!$B:$AA,8,FALSE),"")</f>
        <v>1439.9550000000002</v>
      </c>
      <c r="M37" s="9"/>
    </row>
    <row r="38" spans="1:13" x14ac:dyDescent="0.25">
      <c r="A38" s="10"/>
      <c r="B38" s="31"/>
      <c r="C38" s="31"/>
      <c r="D38" s="32" t="s">
        <v>476</v>
      </c>
      <c r="E38" s="33"/>
      <c r="F38" s="2"/>
      <c r="G38" s="17" t="str">
        <f>IFERROR(VLOOKUP($D38,'Master Sheet'!$B:$AA,3,FALSE),"")</f>
        <v>EN-EL18D RECHARGEABLE LI-ION BATTERY</v>
      </c>
      <c r="H38" s="2"/>
      <c r="I38" s="2" t="str">
        <f>IFERROR(VLOOKUP($D38,'Master Sheet'!$B:$AA,2,FALSE),"")</f>
        <v>VFB12902</v>
      </c>
      <c r="J38" s="34" t="str">
        <f>IFERROR(VLOOKUP($D38,'Master Sheet'!$B:$AA,5,FALSE),"")</f>
        <v>4960759909220</v>
      </c>
      <c r="K38" s="35">
        <f>IFERROR(VLOOKUP($D38,'Master Sheet'!$B:$AA,8,FALSE),"")</f>
        <v>4859.9549999999999</v>
      </c>
      <c r="M38" s="9"/>
    </row>
    <row r="39" spans="1:13" x14ac:dyDescent="0.25">
      <c r="A39" s="10"/>
      <c r="B39" s="31"/>
      <c r="C39" s="31"/>
      <c r="D39" s="32" t="s">
        <v>81</v>
      </c>
      <c r="E39" s="33"/>
      <c r="F39" s="2"/>
      <c r="G39" s="17" t="str">
        <f>IFERROR(VLOOKUP($D39,'Master Sheet'!$B:$AA,3,FALSE),"")</f>
        <v>EN-EL20A RECHARGEABLE LI-ION BATTERY</v>
      </c>
      <c r="H39" s="2"/>
      <c r="I39" s="2" t="str">
        <f>IFERROR(VLOOKUP($D39,'Master Sheet'!$B:$AA,2,FALSE),"")</f>
        <v>VFB11603</v>
      </c>
      <c r="J39" s="34" t="str">
        <f>IFERROR(VLOOKUP($D39,'Master Sheet'!$B:$AA,5,FALSE),"")</f>
        <v>018208037674</v>
      </c>
      <c r="K39" s="35">
        <f>IFERROR(VLOOKUP($D39,'Master Sheet'!$B:$AA,8,FALSE),"")</f>
        <v>989.95500000000004</v>
      </c>
      <c r="M39" s="9"/>
    </row>
    <row r="40" spans="1:13" x14ac:dyDescent="0.25">
      <c r="A40" s="10"/>
      <c r="B40" s="31"/>
      <c r="C40" s="31"/>
      <c r="D40" s="32" t="s">
        <v>82</v>
      </c>
      <c r="E40" s="33"/>
      <c r="F40" s="2"/>
      <c r="G40" s="17" t="str">
        <f>IFERROR(VLOOKUP($D40,'Master Sheet'!$B:$AA,3,FALSE),"")</f>
        <v>EN-EL25 RECHARGEABLE LI-ION BATTERY</v>
      </c>
      <c r="H40" s="2"/>
      <c r="I40" s="2" t="str">
        <f>IFERROR(VLOOKUP($D40,'Master Sheet'!$B:$AA,2,FALSE),"")</f>
        <v>VFB12502</v>
      </c>
      <c r="J40" s="34" t="str">
        <f>IFERROR(VLOOKUP($D40,'Master Sheet'!$B:$AA,5,FALSE),"")</f>
        <v>4960759903976</v>
      </c>
      <c r="K40" s="35">
        <f>IFERROR(VLOOKUP($D40,'Master Sheet'!$B:$AA,8,FALSE),"")</f>
        <v>1574.9550000000002</v>
      </c>
      <c r="M40" s="9"/>
    </row>
    <row r="41" spans="1:13" x14ac:dyDescent="0.25">
      <c r="A41" s="10"/>
      <c r="B41" s="31"/>
      <c r="C41" s="31"/>
      <c r="D41" s="32" t="s">
        <v>889</v>
      </c>
      <c r="E41" s="33"/>
      <c r="F41" s="2"/>
      <c r="G41" s="17" t="str">
        <f>IFERROR(VLOOKUP($D41,'Master Sheet'!$B:$AA,3,FALSE),"")</f>
        <v>EN-EL25A RECHARGEABLE LI-ION BATTERY</v>
      </c>
      <c r="H41" s="2"/>
      <c r="I41" s="2">
        <f>IFERROR(VLOOKUP($D41,'Master Sheet'!$B:$AA,2,FALSE),"")</f>
        <v>0</v>
      </c>
      <c r="J41" s="34" t="str">
        <f>IFERROR(VLOOKUP($D41,'Master Sheet'!$B:$AA,5,FALSE),"")</f>
        <v>No Barcode</v>
      </c>
      <c r="K41" s="35">
        <f>IFERROR(VLOOKUP($D41,'Master Sheet'!$B:$AA,8,FALSE),"")</f>
        <v>1574.9550000000002</v>
      </c>
      <c r="M41" s="9"/>
    </row>
    <row r="42" spans="1:13" ht="25.5" x14ac:dyDescent="0.25">
      <c r="A42" s="10"/>
      <c r="B42" s="31"/>
      <c r="C42" s="31"/>
      <c r="D42" s="32" t="s">
        <v>83</v>
      </c>
      <c r="E42" s="33"/>
      <c r="F42" s="2"/>
      <c r="G42" s="17" t="str">
        <f>IFERROR(VLOOKUP($D42,'Master Sheet'!$B:$AA,3,FALSE),"")</f>
        <v>EP-5B POWER CONNECTOR - D7000/D7100/D600/D610/D800/E</v>
      </c>
      <c r="H42" s="2"/>
      <c r="I42" s="2" t="str">
        <f>IFERROR(VLOOKUP($D42,'Master Sheet'!$B:$AA,2,FALSE),"")</f>
        <v>VEB00901</v>
      </c>
      <c r="J42" s="34" t="str">
        <f>IFERROR(VLOOKUP($D42,'Master Sheet'!$B:$AA,5,FALSE),"")</f>
        <v>018208270149</v>
      </c>
      <c r="K42" s="35">
        <f>IFERROR(VLOOKUP($D42,'Master Sheet'!$B:$AA,8,FALSE),"")</f>
        <v>863.95500000000004</v>
      </c>
      <c r="M42" s="9"/>
    </row>
    <row r="43" spans="1:13" x14ac:dyDescent="0.25">
      <c r="A43" s="10"/>
      <c r="B43" s="31"/>
      <c r="C43" s="31"/>
      <c r="D43" s="32" t="s">
        <v>478</v>
      </c>
      <c r="E43" s="33"/>
      <c r="F43" s="2"/>
      <c r="G43" s="17" t="str">
        <f>IFERROR(VLOOKUP($D43,'Master Sheet'!$B:$AA,3,FALSE),"")</f>
        <v>EP-6A POWER SUPPLY CONNECTOR - Z9</v>
      </c>
      <c r="H43" s="2"/>
      <c r="I43" s="2" t="str">
        <f>IFERROR(VLOOKUP($D43,'Master Sheet'!$B:$AA,2,FALSE),"")</f>
        <v>VEB03501</v>
      </c>
      <c r="J43" s="34" t="str">
        <f>IFERROR(VLOOKUP($D43,'Master Sheet'!$B:$AA,5,FALSE),"")</f>
        <v>No Barcode</v>
      </c>
      <c r="K43" s="35">
        <f>IFERROR(VLOOKUP($D43,'Master Sheet'!$B:$AA,8,FALSE),"")</f>
        <v>6740.9549999999999</v>
      </c>
      <c r="M43" s="9"/>
    </row>
    <row r="44" spans="1:13" x14ac:dyDescent="0.25">
      <c r="A44" s="10"/>
      <c r="B44" s="31"/>
      <c r="C44" s="31"/>
      <c r="D44" s="32" t="s">
        <v>84</v>
      </c>
      <c r="E44" s="33"/>
      <c r="F44" s="2"/>
      <c r="G44" s="17" t="str">
        <f>IFERROR(VLOOKUP($D44,'Master Sheet'!$B:$AA,3,FALSE),"")</f>
        <v>GREY CARD</v>
      </c>
      <c r="H44" s="2"/>
      <c r="I44" s="2" t="str">
        <f>IFERROR(VLOOKUP($D44,'Master Sheet'!$B:$AA,2,FALSE),"")</f>
        <v>FXA10064</v>
      </c>
      <c r="J44" s="34" t="str">
        <f>IFERROR(VLOOKUP($D44,'Master Sheet'!$B:$AA,5,FALSE),"")</f>
        <v>018208027545</v>
      </c>
      <c r="K44" s="35">
        <f>IFERROR(VLOOKUP($D44,'Master Sheet'!$B:$AA,8,FALSE),"")</f>
        <v>179.95499999999998</v>
      </c>
      <c r="M44" s="9"/>
    </row>
    <row r="45" spans="1:13" x14ac:dyDescent="0.25">
      <c r="A45" s="10"/>
      <c r="B45" s="31"/>
      <c r="C45" s="31"/>
      <c r="D45" s="32" t="s">
        <v>487</v>
      </c>
      <c r="E45" s="33"/>
      <c r="F45" s="2"/>
      <c r="G45" s="17" t="str">
        <f>IFERROR(VLOOKUP($D45,'Master Sheet'!$B:$AA,3,FALSE),"")</f>
        <v>HB-101 LENS HOOD</v>
      </c>
      <c r="H45" s="2"/>
      <c r="I45" s="2" t="str">
        <f>IFERROR(VLOOKUP($D45,'Master Sheet'!$B:$AA,2,FALSE),"")</f>
        <v>JMB02301</v>
      </c>
      <c r="J45" s="34" t="str">
        <f>IFERROR(VLOOKUP($D45,'Master Sheet'!$B:$AA,5,FALSE),"")</f>
        <v>018208042586</v>
      </c>
      <c r="K45" s="35">
        <f>IFERROR(VLOOKUP($D45,'Master Sheet'!$B:$AA,8,FALSE),"")</f>
        <v>584.95500000000004</v>
      </c>
      <c r="M45" s="9"/>
    </row>
    <row r="46" spans="1:13" x14ac:dyDescent="0.25">
      <c r="A46" s="10"/>
      <c r="B46" s="31"/>
      <c r="C46" s="31"/>
      <c r="D46" s="32" t="s">
        <v>485</v>
      </c>
      <c r="E46" s="33"/>
      <c r="F46" s="2"/>
      <c r="G46" s="17" t="str">
        <f>IFERROR(VLOOKUP($D46,'Master Sheet'!$B:$AA,3,FALSE),"")</f>
        <v>HB-102 LENS HOOD</v>
      </c>
      <c r="H46" s="2"/>
      <c r="I46" s="2">
        <f>IFERROR(VLOOKUP($D46,'Master Sheet'!$B:$AA,2,FALSE),"")</f>
        <v>0</v>
      </c>
      <c r="J46" s="34" t="str">
        <f>IFERROR(VLOOKUP($D46,'Master Sheet'!$B:$AA,5,FALSE),"")</f>
        <v>018208042593</v>
      </c>
      <c r="K46" s="35">
        <f>IFERROR(VLOOKUP($D46,'Master Sheet'!$B:$AA,8,FALSE),"")</f>
        <v>773.95500000000004</v>
      </c>
      <c r="M46" s="9"/>
    </row>
    <row r="47" spans="1:13" x14ac:dyDescent="0.25">
      <c r="A47" s="10"/>
      <c r="B47" s="31"/>
      <c r="C47" s="31"/>
      <c r="D47" s="32" t="s">
        <v>589</v>
      </c>
      <c r="E47" s="33"/>
      <c r="F47" s="2"/>
      <c r="G47" s="17" t="str">
        <f>IFERROR(VLOOKUP($D47,'Master Sheet'!$B:$AA,3,FALSE),"")</f>
        <v>HB-105 LENS HOOD</v>
      </c>
      <c r="H47" s="2"/>
      <c r="I47" s="2" t="str">
        <f>IFERROR(VLOOKUP($D47,'Master Sheet'!$B:$AA,2,FALSE),"")</f>
        <v>JMB02901</v>
      </c>
      <c r="J47" s="34" t="str">
        <f>IFERROR(VLOOKUP($D47,'Master Sheet'!$B:$AA,5,FALSE),"")</f>
        <v>018208042708</v>
      </c>
      <c r="K47" s="35">
        <f>IFERROR(VLOOKUP($D47,'Master Sheet'!$B:$AA,8,FALSE),"")</f>
        <v>1529.9550000000002</v>
      </c>
      <c r="M47" s="9"/>
    </row>
    <row r="48" spans="1:13" x14ac:dyDescent="0.25">
      <c r="A48" s="10"/>
      <c r="B48" s="31"/>
      <c r="C48" s="31"/>
      <c r="D48" s="32" t="s">
        <v>833</v>
      </c>
      <c r="E48" s="33"/>
      <c r="F48" s="2"/>
      <c r="G48" s="17" t="str">
        <f>IFERROR(VLOOKUP($D48,'Master Sheet'!$B:$AA,3,FALSE),"")</f>
        <v>HB-109 LENS HOOD</v>
      </c>
      <c r="H48" s="2"/>
      <c r="I48" s="2" t="str">
        <f>IFERROR(VLOOKUP($D48,'Master Sheet'!$B:$AA,2,FALSE),"")</f>
        <v>JMB03601</v>
      </c>
      <c r="J48" s="34" t="str">
        <f>IFERROR(VLOOKUP($D48,'Master Sheet'!$B:$AA,5,FALSE),"")</f>
        <v>018208042807</v>
      </c>
      <c r="K48" s="35">
        <f>IFERROR(VLOOKUP($D48,'Master Sheet'!$B:$AA,8,FALSE),"")</f>
        <v>1538.9550000000002</v>
      </c>
      <c r="M48" s="9"/>
    </row>
    <row r="49" spans="1:13" x14ac:dyDescent="0.25">
      <c r="A49" s="10"/>
      <c r="B49" s="31"/>
      <c r="C49" s="31"/>
      <c r="D49" s="32" t="s">
        <v>85</v>
      </c>
      <c r="E49" s="33"/>
      <c r="F49" s="2"/>
      <c r="G49" s="17" t="str">
        <f>IFERROR(VLOOKUP($D49,'Master Sheet'!$B:$AA,3,FALSE),"")</f>
        <v>HB-85 LENS HOOD</v>
      </c>
      <c r="H49" s="2"/>
      <c r="I49" s="2" t="str">
        <f>IFERROR(VLOOKUP($D49,'Master Sheet'!$B:$AA,2,FALSE),"")</f>
        <v>JMB00201</v>
      </c>
      <c r="J49" s="34" t="str">
        <f>IFERROR(VLOOKUP($D49,'Master Sheet'!$B:$AA,5,FALSE),"")</f>
        <v>018208041848</v>
      </c>
      <c r="K49" s="35">
        <f>IFERROR(VLOOKUP($D49,'Master Sheet'!$B:$AA,8,FALSE),"")</f>
        <v>737.95500000000004</v>
      </c>
      <c r="M49" s="9"/>
    </row>
    <row r="50" spans="1:13" x14ac:dyDescent="0.25">
      <c r="A50" s="10"/>
      <c r="B50" s="31"/>
      <c r="C50" s="31"/>
      <c r="D50" s="32" t="s">
        <v>230</v>
      </c>
      <c r="E50" s="33"/>
      <c r="F50" s="2"/>
      <c r="G50" s="17" t="str">
        <f>IFERROR(VLOOKUP($D50,'Master Sheet'!$B:$AA,3,FALSE),"")</f>
        <v>HB-86 LENS HOOD</v>
      </c>
      <c r="H50" s="2"/>
      <c r="I50" s="2" t="str">
        <f>IFERROR(VLOOKUP($D50,'Master Sheet'!$B:$AA,2,FALSE),"")</f>
        <v>JMB00301</v>
      </c>
      <c r="J50" s="34" t="str">
        <f>IFERROR(VLOOKUP($D50,'Master Sheet'!$B:$AA,5,FALSE),"")</f>
        <v>018208041817</v>
      </c>
      <c r="K50" s="35">
        <f>IFERROR(VLOOKUP($D50,'Master Sheet'!$B:$AA,8,FALSE),"")</f>
        <v>512.95500000000004</v>
      </c>
      <c r="M50" s="9"/>
    </row>
    <row r="51" spans="1:13" x14ac:dyDescent="0.25">
      <c r="A51" s="10"/>
      <c r="B51" s="31"/>
      <c r="C51" s="31"/>
      <c r="D51" s="32" t="s">
        <v>234</v>
      </c>
      <c r="E51" s="33"/>
      <c r="F51" s="2"/>
      <c r="G51" s="17" t="str">
        <f>IFERROR(VLOOKUP($D51,'Master Sheet'!$B:$AA,3,FALSE),"")</f>
        <v>HB-87 LENS HOOD</v>
      </c>
      <c r="H51" s="2"/>
      <c r="I51" s="2" t="str">
        <f>IFERROR(VLOOKUP($D51,'Master Sheet'!$B:$AA,2,FALSE),"")</f>
        <v>JMB01101</v>
      </c>
      <c r="J51" s="34" t="str">
        <f>IFERROR(VLOOKUP($D51,'Master Sheet'!$B:$AA,5,FALSE),"")</f>
        <v>018208042258</v>
      </c>
      <c r="K51" s="35">
        <f>IFERROR(VLOOKUP($D51,'Master Sheet'!$B:$AA,8,FALSE),"")</f>
        <v>701.95500000000004</v>
      </c>
      <c r="M51" s="9"/>
    </row>
    <row r="52" spans="1:13" x14ac:dyDescent="0.25">
      <c r="A52" s="10"/>
      <c r="B52" s="31"/>
      <c r="C52" s="31"/>
      <c r="D52" s="32" t="s">
        <v>241</v>
      </c>
      <c r="E52" s="33"/>
      <c r="F52" s="2"/>
      <c r="G52" s="17" t="str">
        <f>IFERROR(VLOOKUP($D52,'Master Sheet'!$B:$AA,3,FALSE),"")</f>
        <v>HB-90 LENS HOOD</v>
      </c>
      <c r="H52" s="2"/>
      <c r="I52" s="2" t="str">
        <f>IFERROR(VLOOKUP($D52,'Master Sheet'!$B:$AA,2,FALSE),"")</f>
        <v>JMB00601</v>
      </c>
      <c r="J52" s="34" t="str">
        <f>IFERROR(VLOOKUP($D52,'Master Sheet'!$B:$AA,5,FALSE),"")</f>
        <v>4960759900074</v>
      </c>
      <c r="K52" s="35">
        <f>IFERROR(VLOOKUP($D52,'Master Sheet'!$B:$AA,8,FALSE),"")</f>
        <v>674.95500000000004</v>
      </c>
      <c r="M52" s="9"/>
    </row>
    <row r="53" spans="1:13" x14ac:dyDescent="0.25">
      <c r="A53" s="10"/>
      <c r="B53" s="31"/>
      <c r="C53" s="31"/>
      <c r="D53" s="32" t="s">
        <v>231</v>
      </c>
      <c r="E53" s="33"/>
      <c r="F53" s="2"/>
      <c r="G53" s="17" t="str">
        <f>IFERROR(VLOOKUP($D53,'Master Sheet'!$B:$AA,3,FALSE),"")</f>
        <v>HB-92 LENS HOOD</v>
      </c>
      <c r="H53" s="2"/>
      <c r="I53" s="2" t="str">
        <f>IFERROR(VLOOKUP($D53,'Master Sheet'!$B:$AA,2,FALSE),"")</f>
        <v>JMB01301</v>
      </c>
      <c r="J53" s="34" t="str">
        <f>IFERROR(VLOOKUP($D53,'Master Sheet'!$B:$AA,5,FALSE),"")</f>
        <v>018208042296</v>
      </c>
      <c r="K53" s="35">
        <f>IFERROR(VLOOKUP($D53,'Master Sheet'!$B:$AA,8,FALSE),"")</f>
        <v>899.95500000000004</v>
      </c>
      <c r="M53" s="9"/>
    </row>
    <row r="54" spans="1:13" x14ac:dyDescent="0.25">
      <c r="A54" s="10"/>
      <c r="B54" s="31"/>
      <c r="C54" s="31"/>
      <c r="D54" s="32" t="s">
        <v>237</v>
      </c>
      <c r="E54" s="33"/>
      <c r="F54" s="2"/>
      <c r="G54" s="17" t="str">
        <f>IFERROR(VLOOKUP($D54,'Master Sheet'!$B:$AA,3,FALSE),"")</f>
        <v xml:space="preserve">HN-40 LENS HOOD </v>
      </c>
      <c r="H54" s="2"/>
      <c r="I54" s="2" t="str">
        <f>IFERROR(VLOOKUP($D54,'Master Sheet'!$B:$AA,2,FALSE),"")</f>
        <v>JMB00701</v>
      </c>
      <c r="J54" s="34" t="str">
        <f>IFERROR(VLOOKUP($D54,'Master Sheet'!$B:$AA,5,FALSE),"")</f>
        <v>018208042067</v>
      </c>
      <c r="K54" s="35">
        <f>IFERROR(VLOOKUP($D54,'Master Sheet'!$B:$AA,8,FALSE),"")</f>
        <v>440.95499999999998</v>
      </c>
      <c r="M54" s="9"/>
    </row>
    <row r="55" spans="1:13" x14ac:dyDescent="0.25">
      <c r="A55" s="10"/>
      <c r="B55" s="31"/>
      <c r="C55" s="31"/>
      <c r="D55" s="32" t="s">
        <v>435</v>
      </c>
      <c r="E55" s="33"/>
      <c r="F55" s="2"/>
      <c r="G55" s="17" t="str">
        <f>IFERROR(VLOOKUP($D55,'Master Sheet'!$B:$AA,3,FALSE),"")</f>
        <v>BF-N1 Body Cap (Z-Series)</v>
      </c>
      <c r="H55" s="2"/>
      <c r="I55" s="2" t="str">
        <f>IFERROR(VLOOKUP($D55,'Master Sheet'!$B:$AA,2,FALSE),"")</f>
        <v>VOD00101</v>
      </c>
      <c r="J55" s="34" t="str">
        <f>IFERROR(VLOOKUP($D55,'Master Sheet'!$B:$AA,5,FALSE),"")</f>
        <v>4960759901002</v>
      </c>
      <c r="K55" s="35">
        <f>IFERROR(VLOOKUP($D55,'Master Sheet'!$B:$AA,8,FALSE),"")</f>
        <v>116.955</v>
      </c>
      <c r="M55" s="9"/>
    </row>
    <row r="56" spans="1:13" x14ac:dyDescent="0.25">
      <c r="A56" s="10"/>
      <c r="B56" s="31"/>
      <c r="C56" s="31"/>
      <c r="D56" s="32" t="s">
        <v>798</v>
      </c>
      <c r="E56" s="33"/>
      <c r="F56" s="2"/>
      <c r="G56" s="17" t="str">
        <f>IFERROR(VLOOKUP($D56,'Master Sheet'!$B:$AA,3,FALSE),"")</f>
        <v>BL-7-BATTERY CHAMBER COVER</v>
      </c>
      <c r="H56" s="2"/>
      <c r="I56" s="2" t="str">
        <f>IFERROR(VLOOKUP($D56,'Master Sheet'!$B:$AA,2,FALSE),"")</f>
        <v>VFD10401</v>
      </c>
      <c r="J56" s="34" t="str">
        <f>IFERROR(VLOOKUP($D56,'Master Sheet'!$B:$AA,5,FALSE),"")</f>
        <v>018208272235</v>
      </c>
      <c r="K56" s="35">
        <f>IFERROR(VLOOKUP($D56,'Master Sheet'!$B:$AA,8,FALSE),"")</f>
        <v>638.95500000000004</v>
      </c>
      <c r="M56" s="9"/>
    </row>
    <row r="57" spans="1:13" x14ac:dyDescent="0.25">
      <c r="A57" s="10"/>
      <c r="B57" s="31"/>
      <c r="C57" s="31"/>
      <c r="D57" s="32" t="s">
        <v>581</v>
      </c>
      <c r="E57" s="33"/>
      <c r="F57" s="2"/>
      <c r="G57" s="17" t="str">
        <f>IFERROR(VLOOKUP($D57,'Master Sheet'!$B:$AA,3,FALSE),"")</f>
        <v>DK-29  RUBBER EYECUP (Z6 &amp; Z7)</v>
      </c>
      <c r="H57" s="2"/>
      <c r="I57" s="2" t="str">
        <f>IFERROR(VLOOKUP($D57,'Master Sheet'!$B:$AA,2,FALSE),"")</f>
        <v>VOW00201</v>
      </c>
      <c r="J57" s="34" t="str">
        <f>IFERROR(VLOOKUP($D57,'Master Sheet'!$B:$AA,5,FALSE),"")</f>
        <v>018208042210</v>
      </c>
      <c r="K57" s="35">
        <f>IFERROR(VLOOKUP($D57,'Master Sheet'!$B:$AA,8,FALSE),"")</f>
        <v>134.95499999999998</v>
      </c>
      <c r="M57" s="9"/>
    </row>
    <row r="58" spans="1:13" x14ac:dyDescent="0.25">
      <c r="A58" s="10"/>
      <c r="B58" s="31"/>
      <c r="C58" s="31"/>
      <c r="D58" s="32" t="s">
        <v>583</v>
      </c>
      <c r="E58" s="33"/>
      <c r="F58" s="2"/>
      <c r="G58" s="17" t="str">
        <f>IFERROR(VLOOKUP($D58,'Master Sheet'!$B:$AA,3,FALSE),"")</f>
        <v>DK-30 Rubber Eyecup</v>
      </c>
      <c r="H58" s="2"/>
      <c r="I58" s="2" t="str">
        <f>IFERROR(VLOOKUP($D58,'Master Sheet'!$B:$AA,2,FALSE),"")</f>
        <v>VOW00301</v>
      </c>
      <c r="J58" s="34" t="str">
        <f>IFERROR(VLOOKUP($D58,'Master Sheet'!$B:$AA,5,FALSE),"")</f>
        <v>018208042425</v>
      </c>
      <c r="K58" s="35">
        <f>IFERROR(VLOOKUP($D58,'Master Sheet'!$B:$AA,8,FALSE),"")</f>
        <v>107.955</v>
      </c>
      <c r="M58" s="9"/>
    </row>
    <row r="59" spans="1:13" x14ac:dyDescent="0.25">
      <c r="A59" s="10"/>
      <c r="B59" s="31"/>
      <c r="C59" s="31"/>
      <c r="D59" s="32" t="s">
        <v>582</v>
      </c>
      <c r="E59" s="33"/>
      <c r="F59" s="2"/>
      <c r="G59" s="17" t="str">
        <f>IFERROR(VLOOKUP($D59,'Master Sheet'!$B:$AA,3,FALSE),"")</f>
        <v>DK-32 Rubber Eyecup</v>
      </c>
      <c r="H59" s="2"/>
      <c r="I59" s="2">
        <f>IFERROR(VLOOKUP($D59,'Master Sheet'!$B:$AA,2,FALSE),"")</f>
        <v>0</v>
      </c>
      <c r="J59" s="34" t="str">
        <f>IFERROR(VLOOKUP($D59,'Master Sheet'!$B:$AA,5,FALSE),"")</f>
        <v>No Barcode</v>
      </c>
      <c r="K59" s="35" t="str">
        <f>IFERROR(VLOOKUP($D59,'Master Sheet'!$B:$AA,8,FALSE),"")</f>
        <v>TBC</v>
      </c>
      <c r="M59" s="9"/>
    </row>
    <row r="60" spans="1:13" x14ac:dyDescent="0.25">
      <c r="A60" s="10"/>
      <c r="B60" s="31"/>
      <c r="C60" s="31"/>
      <c r="D60" s="32" t="s">
        <v>580</v>
      </c>
      <c r="E60" s="33"/>
      <c r="F60" s="2"/>
      <c r="G60" s="17" t="str">
        <f>IFERROR(VLOOKUP($D60,'Master Sheet'!$B:$AA,3,FALSE),"")</f>
        <v>DK-33 Rubber Eyecup</v>
      </c>
      <c r="H60" s="2"/>
      <c r="I60" s="2" t="str">
        <f>IFERROR(VLOOKUP($D60,'Master Sheet'!$B:$AA,2,FALSE),"")</f>
        <v>VOW00501</v>
      </c>
      <c r="J60" s="34" t="str">
        <f>IFERROR(VLOOKUP($D60,'Master Sheet'!$B:$AA,5,FALSE),"")</f>
        <v>018208272242</v>
      </c>
      <c r="K60" s="35">
        <f>IFERROR(VLOOKUP($D60,'Master Sheet'!$B:$AA,8,FALSE),"")</f>
        <v>152.95499999999998</v>
      </c>
      <c r="M60" s="9"/>
    </row>
    <row r="61" spans="1:13" x14ac:dyDescent="0.25">
      <c r="A61" s="10"/>
      <c r="B61" s="31"/>
      <c r="C61" s="31"/>
      <c r="D61" s="32" t="s">
        <v>690</v>
      </c>
      <c r="E61" s="33"/>
      <c r="F61" s="2"/>
      <c r="G61" s="17" t="str">
        <f>IFERROR(VLOOKUP($D61,'Master Sheet'!$B:$AA,3,FALSE),"")</f>
        <v>Charging AC Adapter EH-7P</v>
      </c>
      <c r="H61" s="2"/>
      <c r="I61" s="2" t="str">
        <f>IFERROR(VLOOKUP($D61,'Master Sheet'!$B:$AA,2,FALSE),"")</f>
        <v>VEB029BA</v>
      </c>
      <c r="J61" s="34" t="str">
        <f>IFERROR(VLOOKUP($D61,'Master Sheet'!$B:$AA,5,FALSE),"")</f>
        <v>4960759901958</v>
      </c>
      <c r="K61" s="35">
        <f>IFERROR(VLOOKUP($D61,'Master Sheet'!$B:$AA,8,FALSE),"")</f>
        <v>917.95500000000004</v>
      </c>
      <c r="M61" s="9"/>
    </row>
    <row r="62" spans="1:13" x14ac:dyDescent="0.25">
      <c r="A62" s="10"/>
      <c r="B62" s="31"/>
      <c r="C62" s="31"/>
      <c r="D62" s="32" t="s">
        <v>481</v>
      </c>
      <c r="E62" s="33"/>
      <c r="F62" s="2"/>
      <c r="G62" s="17" t="str">
        <f>IFERROR(VLOOKUP($D62,'Master Sheet'!$B:$AA,3,FALSE),"")</f>
        <v>FTZ II Mount Adapter</v>
      </c>
      <c r="H62" s="2"/>
      <c r="I62" s="2" t="str">
        <f>IFERROR(VLOOKUP($D62,'Master Sheet'!$B:$AA,2,FALSE),"")</f>
        <v>JMA905DA</v>
      </c>
      <c r="J62" s="34" t="str">
        <f>IFERROR(VLOOKUP($D62,'Master Sheet'!$B:$AA,5,FALSE),"")</f>
        <v>018208042647</v>
      </c>
      <c r="K62" s="35">
        <f>IFERROR(VLOOKUP($D62,'Master Sheet'!$B:$AA,8,FALSE),"")</f>
        <v>4049.9549999999999</v>
      </c>
      <c r="M62" s="9"/>
    </row>
    <row r="63" spans="1:13" x14ac:dyDescent="0.25">
      <c r="A63" s="10"/>
      <c r="B63" s="31"/>
      <c r="C63" s="31"/>
      <c r="D63" s="32" t="s">
        <v>531</v>
      </c>
      <c r="E63" s="33"/>
      <c r="F63" s="2"/>
      <c r="G63" s="17" t="str">
        <f>IFERROR(VLOOKUP($D63,'Master Sheet'!$B:$AA,3,FALSE),"")</f>
        <v>46mm Z-Series Lens Cap</v>
      </c>
      <c r="H63" s="2"/>
      <c r="I63" s="2" t="str">
        <f>IFERROR(VLOOKUP($D63,'Master Sheet'!$B:$AA,2,FALSE),"")</f>
        <v>JMD00501</v>
      </c>
      <c r="J63" s="34" t="str">
        <f>IFERROR(VLOOKUP($D63,'Master Sheet'!$B:$AA,5,FALSE),"")</f>
        <v>018208042098</v>
      </c>
      <c r="K63" s="35">
        <f>IFERROR(VLOOKUP($D63,'Master Sheet'!$B:$AA,8,FALSE),"")</f>
        <v>98.954999999999998</v>
      </c>
      <c r="M63" s="9"/>
    </row>
    <row r="64" spans="1:13" x14ac:dyDescent="0.25">
      <c r="A64" s="10"/>
      <c r="B64" s="31"/>
      <c r="C64" s="31"/>
      <c r="D64" s="32" t="s">
        <v>532</v>
      </c>
      <c r="E64" s="33"/>
      <c r="F64" s="2"/>
      <c r="G64" s="17" t="str">
        <f>IFERROR(VLOOKUP($D64,'Master Sheet'!$B:$AA,3,FALSE),"")</f>
        <v>52mm Z-Series Lens Cap</v>
      </c>
      <c r="H64" s="2"/>
      <c r="I64" s="2" t="str">
        <f>IFERROR(VLOOKUP($D64,'Master Sheet'!$B:$AA,2,FALSE),"")</f>
        <v>JMD01101</v>
      </c>
      <c r="J64" s="34" t="str">
        <f>IFERROR(VLOOKUP($D64,'Master Sheet'!$B:$AA,5,FALSE),"")</f>
        <v>018208042449</v>
      </c>
      <c r="K64" s="35">
        <f>IFERROR(VLOOKUP($D64,'Master Sheet'!$B:$AA,8,FALSE),"")</f>
        <v>116.955</v>
      </c>
      <c r="M64" s="9"/>
    </row>
    <row r="65" spans="1:13" x14ac:dyDescent="0.25">
      <c r="A65" s="10"/>
      <c r="B65" s="31"/>
      <c r="C65" s="31"/>
      <c r="D65" s="32" t="s">
        <v>529</v>
      </c>
      <c r="E65" s="33"/>
      <c r="F65" s="2"/>
      <c r="G65" s="17" t="str">
        <f>IFERROR(VLOOKUP($D65,'Master Sheet'!$B:$AA,3,FALSE),"")</f>
        <v>62mm Z-Series Lens Cap</v>
      </c>
      <c r="H65" s="2"/>
      <c r="I65" s="2" t="str">
        <f>IFERROR(VLOOKUP($D65,'Master Sheet'!$B:$AA,2,FALSE),"")</f>
        <v>JMD00201</v>
      </c>
      <c r="J65" s="34" t="str">
        <f>IFERROR(VLOOKUP($D65,'Master Sheet'!$B:$AA,5,FALSE),"")</f>
        <v>4960759149893</v>
      </c>
      <c r="K65" s="35">
        <f>IFERROR(VLOOKUP($D65,'Master Sheet'!$B:$AA,8,FALSE),"")</f>
        <v>170.95499999999998</v>
      </c>
      <c r="M65" s="9"/>
    </row>
    <row r="66" spans="1:13" x14ac:dyDescent="0.25">
      <c r="A66" s="10"/>
      <c r="B66" s="31"/>
      <c r="C66" s="31"/>
      <c r="D66" s="32" t="s">
        <v>533</v>
      </c>
      <c r="E66" s="33"/>
      <c r="F66" s="2"/>
      <c r="G66" s="17" t="str">
        <f>IFERROR(VLOOKUP($D66,'Master Sheet'!$B:$AA,3,FALSE),"")</f>
        <v>67mm Z-Series Lens Cap</v>
      </c>
      <c r="H66" s="2"/>
      <c r="I66" s="2" t="str">
        <f>IFERROR(VLOOKUP($D66,'Master Sheet'!$B:$AA,2,FALSE),"")</f>
        <v>JMD00701</v>
      </c>
      <c r="J66" s="34" t="str">
        <f>IFERROR(VLOOKUP($D66,'Master Sheet'!$B:$AA,5,FALSE),"")</f>
        <v>018208042302</v>
      </c>
      <c r="K66" s="35">
        <f>IFERROR(VLOOKUP($D66,'Master Sheet'!$B:$AA,8,FALSE),"")</f>
        <v>161.95499999999998</v>
      </c>
      <c r="M66" s="9"/>
    </row>
    <row r="67" spans="1:13" x14ac:dyDescent="0.25">
      <c r="A67" s="10"/>
      <c r="B67" s="31"/>
      <c r="C67" s="31"/>
      <c r="D67" s="32" t="s">
        <v>534</v>
      </c>
      <c r="E67" s="33"/>
      <c r="F67" s="2"/>
      <c r="G67" s="17" t="str">
        <f>IFERROR(VLOOKUP($D67,'Master Sheet'!$B:$AA,3,FALSE),"")</f>
        <v>72mm Z-Series Lens Cap</v>
      </c>
      <c r="H67" s="2"/>
      <c r="I67" s="2" t="str">
        <f>IFERROR(VLOOKUP($D67,'Master Sheet'!$B:$AA,2,FALSE),"")</f>
        <v>JMD00301</v>
      </c>
      <c r="J67" s="34" t="str">
        <f>IFERROR(VLOOKUP($D67,'Master Sheet'!$B:$AA,5,FALSE),"")</f>
        <v>018208041954</v>
      </c>
      <c r="K67" s="35">
        <f>IFERROR(VLOOKUP($D67,'Master Sheet'!$B:$AA,8,FALSE),"")</f>
        <v>188.95499999999998</v>
      </c>
      <c r="M67" s="9"/>
    </row>
    <row r="68" spans="1:13" x14ac:dyDescent="0.25">
      <c r="A68" s="10"/>
      <c r="B68" s="31"/>
      <c r="C68" s="31"/>
      <c r="D68" s="32" t="s">
        <v>535</v>
      </c>
      <c r="E68" s="33"/>
      <c r="F68" s="2"/>
      <c r="G68" s="17" t="str">
        <f>IFERROR(VLOOKUP($D68,'Master Sheet'!$B:$AA,3,FALSE),"")</f>
        <v>77mm Z-Series Lens Cap</v>
      </c>
      <c r="H68" s="2"/>
      <c r="I68" s="2" t="str">
        <f>IFERROR(VLOOKUP($D68,'Master Sheet'!$B:$AA,2,FALSE),"")</f>
        <v>JMD00801</v>
      </c>
      <c r="J68" s="34" t="str">
        <f>IFERROR(VLOOKUP($D68,'Master Sheet'!$B:$AA,5,FALSE),"")</f>
        <v>4960759902238</v>
      </c>
      <c r="K68" s="35">
        <f>IFERROR(VLOOKUP($D68,'Master Sheet'!$B:$AA,8,FALSE),"")</f>
        <v>233.95499999999998</v>
      </c>
      <c r="M68" s="9"/>
    </row>
    <row r="69" spans="1:13" x14ac:dyDescent="0.25">
      <c r="A69" s="10"/>
      <c r="B69" s="31"/>
      <c r="C69" s="31"/>
      <c r="D69" s="32" t="s">
        <v>530</v>
      </c>
      <c r="E69" s="33"/>
      <c r="F69" s="2"/>
      <c r="G69" s="17" t="str">
        <f>IFERROR(VLOOKUP($D69,'Master Sheet'!$B:$AA,3,FALSE),"")</f>
        <v>82mm Z-Series Lens Cap</v>
      </c>
      <c r="H69" s="2"/>
      <c r="I69" s="2" t="str">
        <f>IFERROR(VLOOKUP($D69,'Master Sheet'!$B:$AA,2,FALSE),"")</f>
        <v>JMD00401</v>
      </c>
      <c r="J69" s="34" t="str">
        <f>IFERROR(VLOOKUP($D69,'Master Sheet'!$B:$AA,5,FALSE),"")</f>
        <v>4960759149916</v>
      </c>
      <c r="K69" s="35">
        <f>IFERROR(VLOOKUP($D69,'Master Sheet'!$B:$AA,8,FALSE),"")</f>
        <v>278.95499999999998</v>
      </c>
      <c r="M69" s="9"/>
    </row>
    <row r="70" spans="1:13" x14ac:dyDescent="0.25">
      <c r="A70" s="10"/>
      <c r="B70" s="31"/>
      <c r="C70" s="31"/>
      <c r="D70" s="32" t="s">
        <v>588</v>
      </c>
      <c r="E70" s="33"/>
      <c r="F70" s="2"/>
      <c r="G70" s="17" t="str">
        <f>IFERROR(VLOOKUP($D70,'Master Sheet'!$B:$AA,3,FALSE),"")</f>
        <v>95mm Z-Series Lens Cap</v>
      </c>
      <c r="H70" s="2"/>
      <c r="I70" s="2" t="str">
        <f>IFERROR(VLOOKUP($D70,'Master Sheet'!$B:$AA,2,FALSE),"")</f>
        <v>JMD01601</v>
      </c>
      <c r="J70" s="34" t="str">
        <f>IFERROR(VLOOKUP($D70,'Master Sheet'!$B:$AA,5,FALSE),"")</f>
        <v>018208042715</v>
      </c>
      <c r="K70" s="35">
        <f>IFERROR(VLOOKUP($D70,'Master Sheet'!$B:$AA,8,FALSE),"")</f>
        <v>359.95499999999998</v>
      </c>
      <c r="M70" s="9"/>
    </row>
    <row r="71" spans="1:13" x14ac:dyDescent="0.25">
      <c r="A71" s="10"/>
      <c r="B71" s="31"/>
      <c r="C71" s="31"/>
      <c r="D71" s="32" t="s">
        <v>528</v>
      </c>
      <c r="E71" s="33"/>
      <c r="F71" s="2"/>
      <c r="G71" s="17" t="str">
        <f>IFERROR(VLOOKUP($D71,'Master Sheet'!$B:$AA,3,FALSE),"")</f>
        <v>LF-N1 Rear Lens Cap (Z-Series)</v>
      </c>
      <c r="H71" s="2"/>
      <c r="I71" s="2" t="str">
        <f>IFERROR(VLOOKUP($D71,'Master Sheet'!$B:$AA,2,FALSE),"")</f>
        <v>JMD00101</v>
      </c>
      <c r="J71" s="34" t="str">
        <f>IFERROR(VLOOKUP($D71,'Master Sheet'!$B:$AA,5,FALSE),"")</f>
        <v>018208041824</v>
      </c>
      <c r="K71" s="35">
        <f>IFERROR(VLOOKUP($D71,'Master Sheet'!$B:$AA,8,FALSE),"")</f>
        <v>107.955</v>
      </c>
      <c r="M71" s="9"/>
    </row>
    <row r="72" spans="1:13" x14ac:dyDescent="0.25">
      <c r="A72" s="10"/>
      <c r="B72" s="31"/>
      <c r="C72" s="31"/>
      <c r="D72" s="32" t="s">
        <v>687</v>
      </c>
      <c r="E72" s="33"/>
      <c r="F72" s="2"/>
      <c r="G72" s="17" t="str">
        <f>IFERROR(VLOOKUP($D72,'Master Sheet'!$B:$AA,3,FALSE),"")</f>
        <v>Nikon MB-N10 battery pack for the Z6/Z7</v>
      </c>
      <c r="H72" s="2"/>
      <c r="I72" s="2" t="str">
        <f>IFERROR(VLOOKUP($D72,'Master Sheet'!$B:$AA,2,FALSE),"")</f>
        <v>VFC00801</v>
      </c>
      <c r="J72" s="34" t="str">
        <f>IFERROR(VLOOKUP($D72,'Master Sheet'!$B:$AA,5,FALSE),"")</f>
        <v>018208272044</v>
      </c>
      <c r="K72" s="35">
        <f>IFERROR(VLOOKUP($D72,'Master Sheet'!$B:$AA,8,FALSE),"")</f>
        <v>5039.9549999999999</v>
      </c>
      <c r="M72" s="9"/>
    </row>
    <row r="73" spans="1:13" x14ac:dyDescent="0.25">
      <c r="A73" s="10"/>
      <c r="B73" s="31"/>
      <c r="C73" s="31"/>
      <c r="D73" s="32" t="s">
        <v>688</v>
      </c>
      <c r="E73" s="33"/>
      <c r="F73" s="2"/>
      <c r="G73" s="17" t="str">
        <f>IFERROR(VLOOKUP($D73,'Master Sheet'!$B:$AA,3,FALSE),"")</f>
        <v>Nikon MB-N11 battery pack for the Z6 II/Z7 II</v>
      </c>
      <c r="H73" s="2"/>
      <c r="I73" s="2" t="str">
        <f>IFERROR(VLOOKUP($D73,'Master Sheet'!$B:$AA,2,FALSE),"")</f>
        <v>VFC00901</v>
      </c>
      <c r="J73" s="34" t="str">
        <f>IFERROR(VLOOKUP($D73,'Master Sheet'!$B:$AA,5,FALSE),"")</f>
        <v>018208272150</v>
      </c>
      <c r="K73" s="35">
        <f>IFERROR(VLOOKUP($D73,'Master Sheet'!$B:$AA,8,FALSE),"")</f>
        <v>7559.9550000000008</v>
      </c>
      <c r="M73" s="9"/>
    </row>
    <row r="74" spans="1:13" x14ac:dyDescent="0.25">
      <c r="A74" s="10"/>
      <c r="B74" s="31"/>
      <c r="C74" s="31"/>
      <c r="D74" s="32" t="s">
        <v>689</v>
      </c>
      <c r="E74" s="33"/>
      <c r="F74" s="2"/>
      <c r="G74" s="17" t="str">
        <f>IFERROR(VLOOKUP($D74,'Master Sheet'!$B:$AA,3,FALSE),"")</f>
        <v>Nikon MB-N12 battery pack for the Z8</v>
      </c>
      <c r="H74" s="2"/>
      <c r="I74" s="2" t="str">
        <f>IFERROR(VLOOKUP($D74,'Master Sheet'!$B:$AA,2,FALSE),"")</f>
        <v>MB-N12</v>
      </c>
      <c r="J74" s="34" t="str">
        <f>IFERROR(VLOOKUP($D74,'Master Sheet'!$B:$AA,5,FALSE),"")</f>
        <v>018208272273</v>
      </c>
      <c r="K74" s="35">
        <f>IFERROR(VLOOKUP($D74,'Master Sheet'!$B:$AA,8,FALSE),"")</f>
        <v>8279.9550000000017</v>
      </c>
      <c r="M74" s="9"/>
    </row>
    <row r="75" spans="1:13" x14ac:dyDescent="0.25">
      <c r="A75" s="10"/>
      <c r="B75" s="31"/>
      <c r="C75" s="31"/>
      <c r="D75" s="32" t="s">
        <v>896</v>
      </c>
      <c r="E75" s="33"/>
      <c r="F75" s="2"/>
      <c r="G75" s="17" t="str">
        <f>IFERROR(VLOOKUP($D75,'Master Sheet'!$B:$AA,3,FALSE),"")</f>
        <v>Nikon MB-N14 Power battery pack for the Z6III</v>
      </c>
      <c r="H75" s="2"/>
      <c r="I75" s="2" t="str">
        <f>IFERROR(VLOOKUP($D75,'Master Sheet'!$B:$AA,2,FALSE),"")</f>
        <v>VFC01101</v>
      </c>
      <c r="J75" s="34" t="str">
        <f>IFERROR(VLOOKUP($D75,'Master Sheet'!$B:$AA,5,FALSE),"")</f>
        <v>018208272402</v>
      </c>
      <c r="K75" s="35">
        <f>IFERROR(VLOOKUP($D75,'Master Sheet'!$B:$AA,8,FALSE),"")</f>
        <v>8279.9550000000017</v>
      </c>
      <c r="M75" s="9"/>
    </row>
    <row r="76" spans="1:13" x14ac:dyDescent="0.25">
      <c r="A76" s="10"/>
      <c r="B76" s="31"/>
      <c r="C76" s="31"/>
      <c r="D76" s="32" t="s">
        <v>897</v>
      </c>
      <c r="E76" s="33"/>
      <c r="F76" s="2"/>
      <c r="G76" s="17" t="str">
        <f>IFERROR(VLOOKUP($D76,'Master Sheet'!$B:$AA,3,FALSE),"")</f>
        <v>MH-32 Battery Charger</v>
      </c>
      <c r="H76" s="2"/>
      <c r="I76" s="2" t="str">
        <f>IFERROR(VLOOKUP($D76,'Master Sheet'!$B:$AA,2,FALSE),"")</f>
        <v>VEA024EB</v>
      </c>
      <c r="J76" s="34" t="str">
        <f>IFERROR(VLOOKUP($D76,'Master Sheet'!$B:$AA,5,FALSE),"")</f>
        <v>4960759904300</v>
      </c>
      <c r="K76" s="35">
        <f>IFERROR(VLOOKUP($D76,'Master Sheet'!$B:$AA,8,FALSE),"")</f>
        <v>917.95500000000004</v>
      </c>
      <c r="M76" s="9"/>
    </row>
    <row r="77" spans="1:13" x14ac:dyDescent="0.25">
      <c r="A77" s="10"/>
      <c r="B77" s="31"/>
      <c r="C77" s="31"/>
      <c r="D77" s="32" t="s">
        <v>561</v>
      </c>
      <c r="E77" s="33"/>
      <c r="F77" s="2"/>
      <c r="G77" s="17" t="str">
        <f>IFERROR(VLOOKUP($D77,'Master Sheet'!$B:$AA,3,FALSE),"")</f>
        <v>MH-33 BATTERY CHARGER - EN-EL18D Battery</v>
      </c>
      <c r="H77" s="2"/>
      <c r="I77" s="2" t="str">
        <f>IFERROR(VLOOKUP($D77,'Master Sheet'!$B:$AA,2,FALSE),"")</f>
        <v>VEA02502</v>
      </c>
      <c r="J77" s="34" t="str">
        <f>IFERROR(VLOOKUP($D77,'Master Sheet'!$B:$AA,5,FALSE),"")</f>
        <v>4960759909404</v>
      </c>
      <c r="K77" s="35">
        <f>IFERROR(VLOOKUP($D77,'Master Sheet'!$B:$AA,8,FALSE),"")</f>
        <v>2240.9549999999999</v>
      </c>
      <c r="M77" s="9"/>
    </row>
    <row r="78" spans="1:13" x14ac:dyDescent="0.25">
      <c r="A78" s="10"/>
      <c r="B78" s="31"/>
      <c r="C78" s="31"/>
      <c r="D78" s="32" t="s">
        <v>619</v>
      </c>
      <c r="E78" s="33"/>
      <c r="F78" s="2"/>
      <c r="G78" s="17" t="str">
        <f>IFERROR(VLOOKUP($D78,'Master Sheet'!$B:$AA,3,FALSE),"")</f>
        <v>Nikon MC-N10 Remote Grip</v>
      </c>
      <c r="H78" s="2"/>
      <c r="I78" s="2" t="str">
        <f>IFERROR(VLOOKUP($D78,'Master Sheet'!$B:$AA,2,FALSE),"")</f>
        <v>VDR009AA</v>
      </c>
      <c r="J78" s="34" t="str">
        <f>IFERROR(VLOOKUP($D78,'Master Sheet'!$B:$AA,5,FALSE),"")</f>
        <v>018208272303</v>
      </c>
      <c r="K78" s="35">
        <f>IFERROR(VLOOKUP($D78,'Master Sheet'!$B:$AA,8,FALSE),"")</f>
        <v>9629.9550000000017</v>
      </c>
      <c r="M78" s="9"/>
    </row>
    <row r="79" spans="1:13" x14ac:dyDescent="0.25">
      <c r="A79" s="10"/>
      <c r="B79" s="31"/>
      <c r="C79" s="31"/>
      <c r="D79" s="32" t="s">
        <v>479</v>
      </c>
      <c r="E79" s="33"/>
      <c r="F79" s="2"/>
      <c r="G79" s="17" t="str">
        <f>IFERROR(VLOOKUP($D79,'Master Sheet'!$B:$AA,3,FALSE),"")</f>
        <v>MC-30A REMOTE CORD - D4/D4S/D800/E</v>
      </c>
      <c r="H79" s="2"/>
      <c r="I79" s="2" t="str">
        <f>IFERROR(VLOOKUP($D79,'Master Sheet'!$B:$AA,2,FALSE),"")</f>
        <v>VDR00601</v>
      </c>
      <c r="J79" s="34" t="str">
        <f>IFERROR(VLOOKUP($D79,'Master Sheet'!$B:$AA,5,FALSE),"")</f>
        <v>018208046607</v>
      </c>
      <c r="K79" s="35">
        <f>IFERROR(VLOOKUP($D79,'Master Sheet'!$B:$AA,8,FALSE),"")</f>
        <v>1493.9550000000002</v>
      </c>
      <c r="M79" s="9"/>
    </row>
    <row r="80" spans="1:13" x14ac:dyDescent="0.25">
      <c r="A80" s="10"/>
      <c r="B80" s="31"/>
      <c r="C80" s="31"/>
      <c r="D80" s="32" t="s">
        <v>34</v>
      </c>
      <c r="E80" s="33"/>
      <c r="F80" s="2"/>
      <c r="G80" s="17" t="str">
        <f>IFERROR(VLOOKUP($D80,'Master Sheet'!$B:$AA,3,FALSE),"")</f>
        <v>MC-36A REMOTE CORD - D4/D4S/D800/E</v>
      </c>
      <c r="H80" s="2"/>
      <c r="I80" s="2" t="str">
        <f>IFERROR(VLOOKUP($D80,'Master Sheet'!$B:$AA,2,FALSE),"")</f>
        <v>VDR00801</v>
      </c>
      <c r="J80" s="34" t="str">
        <f>IFERROR(VLOOKUP($D80,'Master Sheet'!$B:$AA,5,FALSE),"")</f>
        <v>018208270323</v>
      </c>
      <c r="K80" s="35">
        <f>IFERROR(VLOOKUP($D80,'Master Sheet'!$B:$AA,8,FALSE),"")</f>
        <v>3914.9549999999999</v>
      </c>
      <c r="M80" s="9"/>
    </row>
    <row r="81" spans="1:13" ht="38.25" x14ac:dyDescent="0.25">
      <c r="A81" s="10"/>
      <c r="B81" s="31"/>
      <c r="C81" s="31"/>
      <c r="D81" s="32" t="s">
        <v>32</v>
      </c>
      <c r="E81" s="33"/>
      <c r="F81" s="2"/>
      <c r="G81" s="17" t="str">
        <f>IFERROR(VLOOKUP($D81,'Master Sheet'!$B:$AA,3,FALSE),"")</f>
        <v>MC-DC2 REMOTE CORD - D610/D600/D7100/D7000/D5300/D5200/D3300/D3200/D3100</v>
      </c>
      <c r="H81" s="2"/>
      <c r="I81" s="2" t="str">
        <f>IFERROR(VLOOKUP($D81,'Master Sheet'!$B:$AA,2,FALSE),"")</f>
        <v>VDR00101</v>
      </c>
      <c r="J81" s="34" t="str">
        <f>IFERROR(VLOOKUP($D81,'Master Sheet'!$B:$AA,5,FALSE),"")</f>
        <v>018208253951</v>
      </c>
      <c r="K81" s="35">
        <f>IFERROR(VLOOKUP($D81,'Master Sheet'!$B:$AA,8,FALSE),"")</f>
        <v>431.95499999999998</v>
      </c>
      <c r="M81" s="9"/>
    </row>
    <row r="82" spans="1:13" x14ac:dyDescent="0.25">
      <c r="A82" s="10"/>
      <c r="B82" s="31"/>
      <c r="C82" s="31"/>
      <c r="D82" s="32" t="s">
        <v>898</v>
      </c>
      <c r="E82" s="33"/>
      <c r="F82" s="2"/>
      <c r="G82" s="17" t="str">
        <f>IFERROR(VLOOKUP($D82,'Master Sheet'!$B:$AA,3,FALSE),"")</f>
        <v>Nikon MC-DC3 Remote Release Cord</v>
      </c>
      <c r="H82" s="2"/>
      <c r="I82" s="2" t="str">
        <f>IFERROR(VLOOKUP($D82,'Master Sheet'!$B:$AA,2,FALSE),"")</f>
        <v>VDR01001</v>
      </c>
      <c r="J82" s="34" t="str">
        <f>IFERROR(VLOOKUP($D82,'Master Sheet'!$B:$AA,5,FALSE),"")</f>
        <v>No Barcode</v>
      </c>
      <c r="K82" s="35">
        <f>IFERROR(VLOOKUP($D82,'Master Sheet'!$B:$AA,8,FALSE),"")</f>
        <v>584.95500000000004</v>
      </c>
      <c r="M82" s="9"/>
    </row>
    <row r="83" spans="1:13" x14ac:dyDescent="0.25">
      <c r="A83" s="10"/>
      <c r="B83" s="31"/>
      <c r="C83" s="31"/>
      <c r="D83" s="32" t="s">
        <v>27</v>
      </c>
      <c r="E83" s="33"/>
      <c r="F83" s="2"/>
      <c r="G83" s="17" t="str">
        <f>IFERROR(VLOOKUP($D83,'Master Sheet'!$B:$AA,3,FALSE),"")</f>
        <v>ME-1 STEREO MICROPHONE</v>
      </c>
      <c r="H83" s="2"/>
      <c r="I83" s="2" t="str">
        <f>IFERROR(VLOOKUP($D83,'Master Sheet'!$B:$AA,2,FALSE),"")</f>
        <v>VBW30001</v>
      </c>
      <c r="J83" s="34" t="str">
        <f>IFERROR(VLOOKUP($D83,'Master Sheet'!$B:$AA,5,FALSE),"")</f>
        <v>018208270453</v>
      </c>
      <c r="K83" s="35">
        <f>IFERROR(VLOOKUP($D83,'Master Sheet'!$B:$AA,8,FALSE),"")</f>
        <v>3464.9549999999999</v>
      </c>
      <c r="M83" s="9"/>
    </row>
    <row r="84" spans="1:13" x14ac:dyDescent="0.25">
      <c r="A84" s="10"/>
      <c r="B84" s="31"/>
      <c r="C84" s="31"/>
      <c r="D84" s="32" t="s">
        <v>24</v>
      </c>
      <c r="E84" s="33"/>
      <c r="F84" s="2"/>
      <c r="G84" s="17" t="str">
        <f>IFERROR(VLOOKUP($D84,'Master Sheet'!$B:$AA,3,FALSE),"")</f>
        <v>MH-25A BATTERY CHARGER - EN-EL15 Battery</v>
      </c>
      <c r="H84" s="2"/>
      <c r="I84" s="2" t="str">
        <f>IFERROR(VLOOKUP($D84,'Master Sheet'!$B:$AA,2,FALSE),"")</f>
        <v>VEA016EA</v>
      </c>
      <c r="J84" s="34" t="str">
        <f>IFERROR(VLOOKUP($D84,'Master Sheet'!$B:$AA,5,FALSE),"")</f>
        <v>018208941704</v>
      </c>
      <c r="K84" s="35">
        <f>IFERROR(VLOOKUP($D84,'Master Sheet'!$B:$AA,8,FALSE),"")</f>
        <v>1106.9550000000002</v>
      </c>
      <c r="M84" s="9"/>
    </row>
    <row r="85" spans="1:13" x14ac:dyDescent="0.25">
      <c r="A85" s="10"/>
      <c r="B85" s="31"/>
      <c r="C85" s="31"/>
      <c r="D85" s="32" t="s">
        <v>894</v>
      </c>
      <c r="E85" s="33"/>
      <c r="F85" s="2"/>
      <c r="G85" s="17" t="str">
        <f>IFERROR(VLOOKUP($D85,'Master Sheet'!$B:$AA,3,FALSE),"")</f>
        <v>MH-29 Battery Charger</v>
      </c>
      <c r="H85" s="2"/>
      <c r="I85" s="2" t="str">
        <f>IFERROR(VLOOKUP($D85,'Master Sheet'!$B:$AA,2,FALSE),"")</f>
        <v>VEA021EA</v>
      </c>
      <c r="J85" s="34" t="str">
        <f>IFERROR(VLOOKUP($D85,'Master Sheet'!$B:$AA,5,FALSE),"")</f>
        <v>018208937769</v>
      </c>
      <c r="K85" s="35">
        <f>IFERROR(VLOOKUP($D85,'Master Sheet'!$B:$AA,8,FALSE),"")</f>
        <v>674.95500000000004</v>
      </c>
      <c r="M85" s="9"/>
    </row>
    <row r="86" spans="1:13" x14ac:dyDescent="0.25">
      <c r="A86" s="10"/>
      <c r="B86" s="31"/>
      <c r="C86" s="31"/>
      <c r="D86" s="32" t="s">
        <v>86</v>
      </c>
      <c r="E86" s="33"/>
      <c r="F86" s="2"/>
      <c r="G86" s="17" t="str">
        <f>IFERROR(VLOOKUP($D86,'Master Sheet'!$B:$AA,3,FALSE),"")</f>
        <v>ML-L7 REMOTE CONTROL</v>
      </c>
      <c r="H86" s="2"/>
      <c r="I86" s="2" t="str">
        <f>IFERROR(VLOOKUP($D86,'Master Sheet'!$B:$AA,2,FALSE),"")</f>
        <v>VAJ57201</v>
      </c>
      <c r="J86" s="34" t="str">
        <f>IFERROR(VLOOKUP($D86,'Master Sheet'!$B:$AA,5,FALSE),"")</f>
        <v>018208259526</v>
      </c>
      <c r="K86" s="35">
        <f>IFERROR(VLOOKUP($D86,'Master Sheet'!$B:$AA,8,FALSE),"")</f>
        <v>800.95500000000004</v>
      </c>
      <c r="M86" s="9"/>
    </row>
    <row r="87" spans="1:13" x14ac:dyDescent="0.25">
      <c r="A87" s="10"/>
      <c r="B87" s="31"/>
      <c r="C87" s="31"/>
      <c r="D87" s="32" t="s">
        <v>511</v>
      </c>
      <c r="E87" s="33"/>
      <c r="F87" s="2"/>
      <c r="G87" s="17" t="str">
        <f>IFERROR(VLOOKUP($D87,'Master Sheet'!$B:$AA,3,FALSE),"")</f>
        <v>112MM NC FILTER</v>
      </c>
      <c r="H87" s="2"/>
      <c r="I87" s="2" t="str">
        <f>IFERROR(VLOOKUP($D87,'Master Sheet'!$B:$AA,2,FALSE),"")</f>
        <v>FTA71101</v>
      </c>
      <c r="J87" s="34" t="str">
        <f>IFERROR(VLOOKUP($D87,'Master Sheet'!$B:$AA,5,FALSE),"")</f>
        <v>018208042517</v>
      </c>
      <c r="K87" s="35">
        <f>IFERROR(VLOOKUP($D87,'Master Sheet'!$B:$AA,8,FALSE),"")</f>
        <v>8378.9550000000017</v>
      </c>
      <c r="M87" s="9"/>
    </row>
    <row r="88" spans="1:13" x14ac:dyDescent="0.25">
      <c r="A88" s="10"/>
      <c r="B88" s="31"/>
      <c r="C88" s="31"/>
      <c r="D88" s="32" t="s">
        <v>463</v>
      </c>
      <c r="E88" s="33"/>
      <c r="F88" s="2"/>
      <c r="G88" s="17" t="str">
        <f>IFERROR(VLOOKUP($D88,'Master Sheet'!$B:$AA,3,FALSE),"")</f>
        <v>46MM FILTER NC NEUTRAL COLOUR</v>
      </c>
      <c r="H88" s="2"/>
      <c r="I88" s="2" t="str">
        <f>IFERROR(VLOOKUP($D88,'Master Sheet'!$B:$AA,2,FALSE),"")</f>
        <v>FTA71001</v>
      </c>
      <c r="J88" s="34" t="str">
        <f>IFERROR(VLOOKUP($D88,'Master Sheet'!$B:$AA,5,FALSE),"")</f>
        <v>018208024940</v>
      </c>
      <c r="K88" s="35">
        <f>IFERROR(VLOOKUP($D88,'Master Sheet'!$B:$AA,8,FALSE),"")</f>
        <v>377.95499999999998</v>
      </c>
      <c r="M88" s="9"/>
    </row>
    <row r="89" spans="1:13" x14ac:dyDescent="0.25">
      <c r="A89" s="10"/>
      <c r="B89" s="31"/>
      <c r="C89" s="31"/>
      <c r="D89" s="32" t="s">
        <v>71</v>
      </c>
      <c r="E89" s="33"/>
      <c r="F89" s="2"/>
      <c r="G89" s="17" t="str">
        <f>IFERROR(VLOOKUP($D89,'Master Sheet'!$B:$AA,3,FALSE),"")</f>
        <v>52MM FILTER NC NEUTRAL COLOUR</v>
      </c>
      <c r="H89" s="2"/>
      <c r="I89" s="2" t="str">
        <f>IFERROR(VLOOKUP($D89,'Master Sheet'!$B:$AA,2,FALSE),"")</f>
        <v>FTA07701</v>
      </c>
      <c r="J89" s="34" t="str">
        <f>IFERROR(VLOOKUP($D89,'Master Sheet'!$B:$AA,5,FALSE),"")</f>
        <v>018208024797</v>
      </c>
      <c r="K89" s="35">
        <f>IFERROR(VLOOKUP($D89,'Master Sheet'!$B:$AA,8,FALSE),"")</f>
        <v>512.95500000000004</v>
      </c>
      <c r="M89" s="9"/>
    </row>
    <row r="90" spans="1:13" x14ac:dyDescent="0.25">
      <c r="A90" s="10"/>
      <c r="B90" s="31"/>
      <c r="C90" s="31"/>
      <c r="D90" s="32" t="s">
        <v>65</v>
      </c>
      <c r="E90" s="33"/>
      <c r="F90" s="2"/>
      <c r="G90" s="17" t="str">
        <f>IFERROR(VLOOKUP($D90,'Master Sheet'!$B:$AA,3,FALSE),"")</f>
        <v>58MM FILTER NC NEUTRAL COLOUR</v>
      </c>
      <c r="H90" s="2"/>
      <c r="I90" s="2" t="str">
        <f>IFERROR(VLOOKUP($D90,'Master Sheet'!$B:$AA,2,FALSE),"")</f>
        <v>FTA70101</v>
      </c>
      <c r="J90" s="34" t="str">
        <f>IFERROR(VLOOKUP($D90,'Master Sheet'!$B:$AA,5,FALSE),"")</f>
        <v>018208024834</v>
      </c>
      <c r="K90" s="35">
        <f>IFERROR(VLOOKUP($D90,'Master Sheet'!$B:$AA,8,FALSE),"")</f>
        <v>548.95500000000004</v>
      </c>
      <c r="M90" s="9"/>
    </row>
    <row r="91" spans="1:13" x14ac:dyDescent="0.25">
      <c r="A91" s="10"/>
      <c r="B91" s="31"/>
      <c r="C91" s="31"/>
      <c r="D91" s="32" t="s">
        <v>69</v>
      </c>
      <c r="E91" s="33"/>
      <c r="F91" s="2"/>
      <c r="G91" s="17" t="str">
        <f>IFERROR(VLOOKUP($D91,'Master Sheet'!$B:$AA,3,FALSE),"")</f>
        <v>62MM FILTER NC NEUTRAL COLOUR</v>
      </c>
      <c r="H91" s="2"/>
      <c r="I91" s="2" t="str">
        <f>IFERROR(VLOOKUP($D91,'Master Sheet'!$B:$AA,2,FALSE),"")</f>
        <v>FTA11401</v>
      </c>
      <c r="J91" s="34" t="str">
        <f>IFERROR(VLOOKUP($D91,'Master Sheet'!$B:$AA,5,FALSE),"")</f>
        <v>018208024803</v>
      </c>
      <c r="K91" s="35">
        <f>IFERROR(VLOOKUP($D91,'Master Sheet'!$B:$AA,8,FALSE),"")</f>
        <v>710.95500000000004</v>
      </c>
      <c r="M91" s="9"/>
    </row>
    <row r="92" spans="1:13" x14ac:dyDescent="0.25">
      <c r="A92" s="10"/>
      <c r="B92" s="31"/>
      <c r="C92" s="31"/>
      <c r="D92" s="32" t="s">
        <v>67</v>
      </c>
      <c r="E92" s="33"/>
      <c r="F92" s="2"/>
      <c r="G92" s="17" t="str">
        <f>IFERROR(VLOOKUP($D92,'Master Sheet'!$B:$AA,3,FALSE),"")</f>
        <v>67MM FILTER NC NEUTRAL COLOUR</v>
      </c>
      <c r="H92" s="2"/>
      <c r="I92" s="2" t="str">
        <f>IFERROR(VLOOKUP($D92,'Master Sheet'!$B:$AA,2,FALSE),"")</f>
        <v>FTA13101</v>
      </c>
      <c r="J92" s="34" t="str">
        <f>IFERROR(VLOOKUP($D92,'Master Sheet'!$B:$AA,5,FALSE),"")</f>
        <v>018208022885</v>
      </c>
      <c r="K92" s="35">
        <f>IFERROR(VLOOKUP($D92,'Master Sheet'!$B:$AA,8,FALSE),"")</f>
        <v>863.95500000000004</v>
      </c>
      <c r="M92" s="9"/>
    </row>
    <row r="93" spans="1:13" x14ac:dyDescent="0.25">
      <c r="A93" s="10"/>
      <c r="B93" s="31"/>
      <c r="C93" s="31"/>
      <c r="D93" s="32" t="s">
        <v>61</v>
      </c>
      <c r="E93" s="33"/>
      <c r="F93" s="2"/>
      <c r="G93" s="17" t="str">
        <f>IFERROR(VLOOKUP($D93,'Master Sheet'!$B:$AA,3,FALSE),"")</f>
        <v>72MM FILTER NC NEUTRAL COLOUR</v>
      </c>
      <c r="H93" s="2"/>
      <c r="I93" s="2" t="str">
        <f>IFERROR(VLOOKUP($D93,'Master Sheet'!$B:$AA,2,FALSE),"")</f>
        <v>FTA16601</v>
      </c>
      <c r="J93" s="34" t="str">
        <f>IFERROR(VLOOKUP($D93,'Master Sheet'!$B:$AA,5,FALSE),"")</f>
        <v>018208024810</v>
      </c>
      <c r="K93" s="35">
        <f>IFERROR(VLOOKUP($D93,'Master Sheet'!$B:$AA,8,FALSE),"")</f>
        <v>1439.9550000000002</v>
      </c>
      <c r="M93" s="9"/>
    </row>
    <row r="94" spans="1:13" x14ac:dyDescent="0.25">
      <c r="A94" s="10"/>
      <c r="B94" s="31"/>
      <c r="C94" s="31"/>
      <c r="D94" s="32" t="s">
        <v>63</v>
      </c>
      <c r="E94" s="33"/>
      <c r="F94" s="2"/>
      <c r="G94" s="17" t="str">
        <f>IFERROR(VLOOKUP($D94,'Master Sheet'!$B:$AA,3,FALSE),"")</f>
        <v>77MM FILTER NC NEUTRAL COLOUR</v>
      </c>
      <c r="H94" s="2"/>
      <c r="I94" s="2" t="str">
        <f>IFERROR(VLOOKUP($D94,'Master Sheet'!$B:$AA,2,FALSE),"")</f>
        <v>FTA60801</v>
      </c>
      <c r="J94" s="34" t="str">
        <f>IFERROR(VLOOKUP($D94,'Master Sheet'!$B:$AA,5,FALSE),"")</f>
        <v>018208024827</v>
      </c>
      <c r="K94" s="35">
        <f>IFERROR(VLOOKUP($D94,'Master Sheet'!$B:$AA,8,FALSE),"")</f>
        <v>1592.9550000000002</v>
      </c>
      <c r="M94" s="9"/>
    </row>
    <row r="95" spans="1:13" x14ac:dyDescent="0.25">
      <c r="A95" s="10"/>
      <c r="B95" s="31"/>
      <c r="C95" s="31"/>
      <c r="D95" s="32" t="s">
        <v>73</v>
      </c>
      <c r="E95" s="33"/>
      <c r="F95" s="2"/>
      <c r="G95" s="17" t="str">
        <f>IFERROR(VLOOKUP($D95,'Master Sheet'!$B:$AA,3,FALSE),"")</f>
        <v xml:space="preserve">82MM FILTER NC NEUTRAL COLOUR </v>
      </c>
      <c r="H95" s="2"/>
      <c r="I95" s="2" t="str">
        <f>IFERROR(VLOOKUP($D95,'Master Sheet'!$B:$AA,2,FALSE),"")</f>
        <v>FTA70401</v>
      </c>
      <c r="J95" s="34" t="str">
        <f>IFERROR(VLOOKUP($D95,'Master Sheet'!$B:$AA,5,FALSE),"")</f>
        <v>018208024971</v>
      </c>
      <c r="K95" s="35">
        <f>IFERROR(VLOOKUP($D95,'Master Sheet'!$B:$AA,8,FALSE),"")</f>
        <v>1826.9550000000002</v>
      </c>
      <c r="M95" s="9"/>
    </row>
    <row r="96" spans="1:13" x14ac:dyDescent="0.25">
      <c r="A96" s="10"/>
      <c r="B96" s="31"/>
      <c r="C96" s="31"/>
      <c r="D96" s="32" t="s">
        <v>87</v>
      </c>
      <c r="E96" s="33"/>
      <c r="F96" s="2"/>
      <c r="G96" s="17" t="str">
        <f>IFERROR(VLOOKUP($D96,'Master Sheet'!$B:$AA,3,FALSE),"")</f>
        <v xml:space="preserve">95MM FILTER NC NEUTRAL COLOUR </v>
      </c>
      <c r="H96" s="2"/>
      <c r="I96" s="2" t="str">
        <f>IFERROR(VLOOKUP($D96,'Master Sheet'!$B:$AA,2,FALSE),"")</f>
        <v>FTA70601</v>
      </c>
      <c r="J96" s="34" t="str">
        <f>IFERROR(VLOOKUP($D96,'Master Sheet'!$B:$AA,5,FALSE),"")</f>
        <v>018208025084</v>
      </c>
      <c r="K96" s="35">
        <f>IFERROR(VLOOKUP($D96,'Master Sheet'!$B:$AA,8,FALSE),"")</f>
        <v>3176.9549999999999</v>
      </c>
      <c r="M96" s="9"/>
    </row>
    <row r="97" spans="1:13" ht="25.5" x14ac:dyDescent="0.25">
      <c r="A97" s="10"/>
      <c r="B97" s="31"/>
      <c r="C97" s="31"/>
      <c r="D97" s="32" t="s">
        <v>17</v>
      </c>
      <c r="E97" s="33"/>
      <c r="F97" s="2"/>
      <c r="G97" s="17" t="str">
        <f>IFERROR(VLOOKUP($D97,'Master Sheet'!$B:$AA,3,FALSE),"")</f>
        <v>CLOSE-UP SPEEDLIGHT REMOTE KIT R1 (Included 2 x SB-R200)</v>
      </c>
      <c r="H97" s="2"/>
      <c r="I97" s="2" t="str">
        <f>IFERROR(VLOOKUP($D97,'Master Sheet'!$B:$AA,2,FALSE),"")</f>
        <v>FSA906BA</v>
      </c>
      <c r="J97" s="34" t="str">
        <f>IFERROR(VLOOKUP($D97,'Master Sheet'!$B:$AA,5,FALSE),"")</f>
        <v>018208048045</v>
      </c>
      <c r="K97" s="35">
        <f>IFERROR(VLOOKUP($D97,'Master Sheet'!$B:$AA,8,FALSE),"")</f>
        <v>15218.955000000002</v>
      </c>
      <c r="M97" s="9"/>
    </row>
    <row r="98" spans="1:13" ht="25.5" x14ac:dyDescent="0.25">
      <c r="A98" s="10"/>
      <c r="B98" s="31"/>
      <c r="C98" s="31"/>
      <c r="D98" s="32" t="s">
        <v>21</v>
      </c>
      <c r="E98" s="33"/>
      <c r="F98" s="2"/>
      <c r="G98" s="17" t="str">
        <f>IFERROR(VLOOKUP($D98,'Master Sheet'!$B:$AA,3,FALSE),"")</f>
        <v>CLOSE-UP SPEEDLIGHT COMMANDER KIT R1C1 (Includes 2X SB-R200 + SU-800)</v>
      </c>
      <c r="H98" s="2"/>
      <c r="I98" s="2" t="str">
        <f>IFERROR(VLOOKUP($D98,'Master Sheet'!$B:$AA,2,FALSE),"")</f>
        <v>FSA906CA</v>
      </c>
      <c r="J98" s="34" t="str">
        <f>IFERROR(VLOOKUP($D98,'Master Sheet'!$B:$AA,5,FALSE),"")</f>
        <v>018208048038</v>
      </c>
      <c r="K98" s="35">
        <f>IFERROR(VLOOKUP($D98,'Master Sheet'!$B:$AA,8,FALSE),"")</f>
        <v>18296.955000000002</v>
      </c>
      <c r="M98" s="9"/>
    </row>
    <row r="99" spans="1:13" ht="25.5" x14ac:dyDescent="0.25">
      <c r="A99" s="10"/>
      <c r="B99" s="31"/>
      <c r="C99" s="31"/>
      <c r="D99" s="32" t="s">
        <v>15</v>
      </c>
      <c r="E99" s="33"/>
      <c r="F99" s="2"/>
      <c r="G99" s="17" t="str">
        <f>IFERROR(VLOOKUP($D99,'Master Sheet'!$B:$AA,3,FALSE),"")</f>
        <v>SB-500 SPEEDLIGHT UNIT (GUIDE NR= 24/ 24MM COVERAGE)</v>
      </c>
      <c r="H99" s="2"/>
      <c r="I99" s="2" t="str">
        <f>IFERROR(VLOOKUP($D99,'Master Sheet'!$B:$AA,2,FALSE),"")</f>
        <v>FSA04201</v>
      </c>
      <c r="J99" s="34" t="str">
        <f>IFERROR(VLOOKUP($D99,'Master Sheet'!$B:$AA,5,FALSE),"")</f>
        <v>018208048144</v>
      </c>
      <c r="K99" s="35">
        <f>IFERROR(VLOOKUP($D99,'Master Sheet'!$B:$AA,8,FALSE),"")</f>
        <v>4463.9549999999999</v>
      </c>
      <c r="M99" s="9"/>
    </row>
    <row r="100" spans="1:13" ht="25.5" x14ac:dyDescent="0.25">
      <c r="A100" s="10"/>
      <c r="B100" s="31"/>
      <c r="C100" s="31"/>
      <c r="D100" s="32" t="s">
        <v>10</v>
      </c>
      <c r="E100" s="33"/>
      <c r="F100" s="2"/>
      <c r="G100" s="17" t="str">
        <f>IFERROR(VLOOKUP($D100,'Master Sheet'!$B:$AA,3,FALSE),"")</f>
        <v>SB-5000 SPEEDLIGHT UNIT (GUIDE NR= 34.5/ 24-200MM COVERAGE)</v>
      </c>
      <c r="H100" s="2"/>
      <c r="I100" s="2" t="str">
        <f>IFERROR(VLOOKUP($D100,'Master Sheet'!$B:$AA,2,FALSE),"")</f>
        <v>FSA043AG</v>
      </c>
      <c r="J100" s="34" t="str">
        <f>IFERROR(VLOOKUP($D100,'Master Sheet'!$B:$AA,5,FALSE),"")</f>
        <v>018208950157</v>
      </c>
      <c r="K100" s="35">
        <f>IFERROR(VLOOKUP($D100,'Master Sheet'!$B:$AA,8,FALSE),"")</f>
        <v>8999.9550000000017</v>
      </c>
      <c r="M100" s="9"/>
    </row>
    <row r="101" spans="1:13" ht="25.5" x14ac:dyDescent="0.25">
      <c r="A101" s="10"/>
      <c r="B101" s="31"/>
      <c r="C101" s="31"/>
      <c r="D101" s="32" t="s">
        <v>13</v>
      </c>
      <c r="E101" s="33"/>
      <c r="F101" s="2"/>
      <c r="G101" s="17" t="str">
        <f>IFERROR(VLOOKUP($D101,'Master Sheet'!$B:$AA,3,FALSE),"")</f>
        <v>SB-700 SPEEDLIGHT UNIT (GUIDE NR= 28/ 24-120MM COVERAGE)</v>
      </c>
      <c r="H101" s="2"/>
      <c r="I101" s="2" t="str">
        <f>IFERROR(VLOOKUP($D101,'Master Sheet'!$B:$AA,2,FALSE),"")</f>
        <v>FSA03901</v>
      </c>
      <c r="J101" s="34" t="str">
        <f>IFERROR(VLOOKUP($D101,'Master Sheet'!$B:$AA,5,FALSE),"")</f>
        <v>018208048083</v>
      </c>
      <c r="K101" s="35">
        <f>IFERROR(VLOOKUP($D101,'Master Sheet'!$B:$AA,8,FALSE),"")</f>
        <v>6101.9549999999999</v>
      </c>
      <c r="M101" s="9"/>
    </row>
    <row r="102" spans="1:13" x14ac:dyDescent="0.25">
      <c r="A102" s="10"/>
      <c r="B102" s="31"/>
      <c r="C102" s="31"/>
      <c r="D102" s="32" t="s">
        <v>19</v>
      </c>
      <c r="E102" s="33"/>
      <c r="F102" s="2"/>
      <c r="G102" s="17" t="str">
        <f>IFERROR(VLOOKUP($D102,'Master Sheet'!$B:$AA,3,FALSE),"")</f>
        <v>SB-R200 WIRELESS REMOTE SPEEDLIGHT</v>
      </c>
      <c r="H102" s="2"/>
      <c r="I102" s="2" t="str">
        <f>IFERROR(VLOOKUP($D102,'Master Sheet'!$B:$AA,2,FALSE),"")</f>
        <v>FSA90601</v>
      </c>
      <c r="J102" s="34" t="str">
        <f>IFERROR(VLOOKUP($D102,'Master Sheet'!$B:$AA,5,FALSE),"")</f>
        <v>018208048052</v>
      </c>
      <c r="K102" s="35">
        <f>IFERROR(VLOOKUP($D102,'Master Sheet'!$B:$AA,8,FALSE),"")</f>
        <v>4913.9549999999999</v>
      </c>
      <c r="M102" s="9"/>
    </row>
    <row r="103" spans="1:13" x14ac:dyDescent="0.25">
      <c r="A103" s="10"/>
      <c r="B103" s="31"/>
      <c r="C103" s="31"/>
      <c r="D103" s="32" t="s">
        <v>88</v>
      </c>
      <c r="E103" s="33"/>
      <c r="F103" s="2"/>
      <c r="G103" s="17" t="str">
        <f>IFERROR(VLOOKUP($D103,'Master Sheet'!$B:$AA,3,FALSE),"")</f>
        <v>SC-28 TTL SENSOR REMOTE CORD</v>
      </c>
      <c r="H103" s="2"/>
      <c r="I103" s="2" t="str">
        <f>IFERROR(VLOOKUP($D103,'Master Sheet'!$B:$AA,2,FALSE),"")</f>
        <v>FSG02601</v>
      </c>
      <c r="J103" s="34" t="str">
        <f>IFERROR(VLOOKUP($D103,'Master Sheet'!$B:$AA,5,FALSE),"")</f>
        <v>018208047659</v>
      </c>
      <c r="K103" s="35">
        <f>IFERROR(VLOOKUP($D103,'Master Sheet'!$B:$AA,8,FALSE),"")</f>
        <v>1475.9550000000002</v>
      </c>
      <c r="M103" s="9"/>
    </row>
    <row r="104" spans="1:13" ht="25.5" x14ac:dyDescent="0.25">
      <c r="A104" s="10"/>
      <c r="B104" s="31"/>
      <c r="C104" s="31"/>
      <c r="D104" s="32" t="s">
        <v>89</v>
      </c>
      <c r="E104" s="33"/>
      <c r="F104" s="2"/>
      <c r="G104" s="17" t="str">
        <f>IFERROR(VLOOKUP($D104,'Master Sheet'!$B:$AA,3,FALSE),"")</f>
        <v>SC-29 TTL SENSOR REMOTE CORD ( WITH AF ASSIST)</v>
      </c>
      <c r="H104" s="2"/>
      <c r="I104" s="2" t="str">
        <f>IFERROR(VLOOKUP($D104,'Master Sheet'!$B:$AA,2,FALSE),"")</f>
        <v>FSG02701</v>
      </c>
      <c r="J104" s="34" t="str">
        <f>IFERROR(VLOOKUP($D104,'Master Sheet'!$B:$AA,5,FALSE),"")</f>
        <v>018208047666</v>
      </c>
      <c r="K104" s="35">
        <f>IFERROR(VLOOKUP($D104,'Master Sheet'!$B:$AA,8,FALSE),"")</f>
        <v>1970.9549999999999</v>
      </c>
      <c r="M104" s="9"/>
    </row>
    <row r="105" spans="1:13" x14ac:dyDescent="0.25">
      <c r="A105" s="10"/>
      <c r="B105" s="31"/>
      <c r="C105" s="31"/>
      <c r="D105" s="32" t="s">
        <v>90</v>
      </c>
      <c r="E105" s="33"/>
      <c r="F105" s="2"/>
      <c r="G105" s="17" t="str">
        <f>IFERROR(VLOOKUP($D105,'Master Sheet'!$B:$AA,3,FALSE),"")</f>
        <v xml:space="preserve">SG-31R IR PANEL FOR BUILT -IN FLASH </v>
      </c>
      <c r="H105" s="2"/>
      <c r="I105" s="2" t="str">
        <f>IFERROR(VLOOKUP($D105,'Master Sheet'!$B:$AA,2,FALSE),"")</f>
        <v>FXA10358</v>
      </c>
      <c r="J105" s="34" t="str">
        <f>IFERROR(VLOOKUP($D105,'Master Sheet'!$B:$AA,5,FALSE),"")</f>
        <v>018208049059</v>
      </c>
      <c r="K105" s="35">
        <f>IFERROR(VLOOKUP($D105,'Master Sheet'!$B:$AA,8,FALSE),"")</f>
        <v>233.95499999999998</v>
      </c>
      <c r="M105" s="9"/>
    </row>
    <row r="106" spans="1:13" x14ac:dyDescent="0.25">
      <c r="A106" s="10"/>
      <c r="B106" s="31"/>
      <c r="C106" s="31"/>
      <c r="D106" s="32" t="s">
        <v>91</v>
      </c>
      <c r="E106" s="33"/>
      <c r="F106" s="2"/>
      <c r="G106" s="17" t="str">
        <f>IFERROR(VLOOKUP($D106,'Master Sheet'!$B:$AA,3,FALSE),"")</f>
        <v>SJ-2 COLOR FILTER SET (SB-R200/R1/R1C1)</v>
      </c>
      <c r="H106" s="2"/>
      <c r="I106" s="2" t="str">
        <f>IFERROR(VLOOKUP($D106,'Master Sheet'!$B:$AA,2,FALSE),"")</f>
        <v>FSW54001</v>
      </c>
      <c r="J106" s="34" t="str">
        <f>IFERROR(VLOOKUP($D106,'Master Sheet'!$B:$AA,5,FALSE),"")</f>
        <v>018208049134</v>
      </c>
      <c r="K106" s="35">
        <f>IFERROR(VLOOKUP($D106,'Master Sheet'!$B:$AA,8,FALSE),"")</f>
        <v>449.95499999999998</v>
      </c>
      <c r="M106" s="9"/>
    </row>
    <row r="107" spans="1:13" x14ac:dyDescent="0.25">
      <c r="A107" s="10"/>
      <c r="B107" s="31"/>
      <c r="C107" s="31"/>
      <c r="D107" s="32" t="s">
        <v>92</v>
      </c>
      <c r="E107" s="33"/>
      <c r="F107" s="2"/>
      <c r="G107" s="17" t="str">
        <f>IFERROR(VLOOKUP($D107,'Master Sheet'!$B:$AA,3,FALSE),"")</f>
        <v>SJ-4 COLOR FILTER SET (SB-700)</v>
      </c>
      <c r="H107" s="2"/>
      <c r="I107" s="2" t="str">
        <f>IFERROR(VLOOKUP($D107,'Master Sheet'!$B:$AA,2,FALSE),"")</f>
        <v>FSW54801</v>
      </c>
      <c r="J107" s="34" t="str">
        <f>IFERROR(VLOOKUP($D107,'Master Sheet'!$B:$AA,5,FALSE),"")</f>
        <v>018208049677</v>
      </c>
      <c r="K107" s="35">
        <f>IFERROR(VLOOKUP($D107,'Master Sheet'!$B:$AA,8,FALSE),"")</f>
        <v>494.95500000000004</v>
      </c>
      <c r="M107" s="9"/>
    </row>
    <row r="108" spans="1:13" x14ac:dyDescent="0.25">
      <c r="A108" s="10"/>
      <c r="B108" s="31"/>
      <c r="C108" s="31"/>
      <c r="D108" s="32" t="s">
        <v>93</v>
      </c>
      <c r="E108" s="33"/>
      <c r="F108" s="2"/>
      <c r="G108" s="17" t="str">
        <f>IFERROR(VLOOKUP($D108,'Master Sheet'!$B:$AA,3,FALSE),"")</f>
        <v>SOFT CASE SS-700 ( SB-700)</v>
      </c>
      <c r="H108" s="2"/>
      <c r="I108" s="2" t="str">
        <f>IFERROR(VLOOKUP($D108,'Master Sheet'!$B:$AA,2,FALSE),"")</f>
        <v>FXA10375</v>
      </c>
      <c r="J108" s="34" t="str">
        <f>IFERROR(VLOOKUP($D108,'Master Sheet'!$B:$AA,5,FALSE),"")</f>
        <v>018208049646</v>
      </c>
      <c r="K108" s="35">
        <f>IFERROR(VLOOKUP($D108,'Master Sheet'!$B:$AA,8,FALSE),"")</f>
        <v>629.95500000000004</v>
      </c>
      <c r="M108" s="9"/>
    </row>
    <row r="109" spans="1:13" x14ac:dyDescent="0.25">
      <c r="A109" s="10"/>
      <c r="B109" s="31"/>
      <c r="C109" s="31"/>
      <c r="D109" s="32" t="s">
        <v>94</v>
      </c>
      <c r="E109" s="33"/>
      <c r="F109" s="2"/>
      <c r="G109" s="17" t="str">
        <f>IFERROR(VLOOKUP($D109,'Master Sheet'!$B:$AA,3,FALSE),"")</f>
        <v>SOFT CASE SS-SD9 POWER PACK</v>
      </c>
      <c r="H109" s="2"/>
      <c r="I109" s="2" t="str">
        <f>IFERROR(VLOOKUP($D109,'Master Sheet'!$B:$AA,2,FALSE),"")</f>
        <v>FSW54701</v>
      </c>
      <c r="J109" s="34" t="str">
        <f>IFERROR(VLOOKUP($D109,'Master Sheet'!$B:$AA,5,FALSE),"")</f>
        <v>018208049547</v>
      </c>
      <c r="K109" s="35">
        <f>IFERROR(VLOOKUP($D109,'Master Sheet'!$B:$AA,8,FALSE),"")</f>
        <v>431.95499999999998</v>
      </c>
      <c r="M109" s="9"/>
    </row>
    <row r="110" spans="1:13" x14ac:dyDescent="0.25">
      <c r="A110" s="10"/>
      <c r="B110" s="31"/>
      <c r="C110" s="31"/>
      <c r="D110" s="32" t="s">
        <v>95</v>
      </c>
      <c r="E110" s="33"/>
      <c r="F110" s="2"/>
      <c r="G110" s="17" t="str">
        <f>IFERROR(VLOOKUP($D110,'Master Sheet'!$B:$AA,3,FALSE),"")</f>
        <v>SOFT CASE SS-SU800</v>
      </c>
      <c r="H110" s="2"/>
      <c r="I110" s="2" t="str">
        <f>IFERROR(VLOOKUP($D110,'Master Sheet'!$B:$AA,2,FALSE),"")</f>
        <v>FXA10360</v>
      </c>
      <c r="J110" s="34" t="str">
        <f>IFERROR(VLOOKUP($D110,'Master Sheet'!$B:$AA,5,FALSE),"")</f>
        <v>018208049080</v>
      </c>
      <c r="K110" s="35">
        <f>IFERROR(VLOOKUP($D110,'Master Sheet'!$B:$AA,8,FALSE),"")</f>
        <v>188.95499999999998</v>
      </c>
      <c r="M110" s="9"/>
    </row>
    <row r="111" spans="1:13" x14ac:dyDescent="0.25">
      <c r="A111" s="10"/>
      <c r="B111" s="31"/>
      <c r="C111" s="31"/>
      <c r="D111" s="32" t="s">
        <v>11</v>
      </c>
      <c r="E111" s="33"/>
      <c r="F111" s="2"/>
      <c r="G111" s="17" t="str">
        <f>IFERROR(VLOOKUP($D111,'Master Sheet'!$B:$AA,3,FALSE),"")</f>
        <v xml:space="preserve">SU-800 WIRELESS SPEEDLIGHT COMMANDER </v>
      </c>
      <c r="H111" s="2"/>
      <c r="I111" s="2" t="str">
        <f>IFERROR(VLOOKUP($D111,'Master Sheet'!$B:$AA,2,FALSE),"")</f>
        <v>FSW53801</v>
      </c>
      <c r="J111" s="34" t="str">
        <f>IFERROR(VLOOKUP($D111,'Master Sheet'!$B:$AA,5,FALSE),"")</f>
        <v>018208047949</v>
      </c>
      <c r="K111" s="35">
        <f>IFERROR(VLOOKUP($D111,'Master Sheet'!$B:$AA,8,FALSE),"")</f>
        <v>7847.9550000000008</v>
      </c>
      <c r="M111" s="9"/>
    </row>
    <row r="112" spans="1:13" x14ac:dyDescent="0.25">
      <c r="A112" s="10"/>
      <c r="B112" s="31"/>
      <c r="C112" s="31"/>
      <c r="D112" s="32" t="s">
        <v>96</v>
      </c>
      <c r="E112" s="33"/>
      <c r="F112" s="2"/>
      <c r="G112" s="17" t="str">
        <f>IFERROR(VLOOKUP($D112,'Master Sheet'!$B:$AA,3,FALSE),"")</f>
        <v>SW-12 DIFFUSER (SB600/SB-R200/R1/R1C1)</v>
      </c>
      <c r="H112" s="2"/>
      <c r="I112" s="2" t="str">
        <f>IFERROR(VLOOKUP($D112,'Master Sheet'!$B:$AA,2,FALSE),"")</f>
        <v>FXA10364</v>
      </c>
      <c r="J112" s="34" t="str">
        <f>IFERROR(VLOOKUP($D112,'Master Sheet'!$B:$AA,5,FALSE),"")</f>
        <v>018208049073</v>
      </c>
      <c r="K112" s="35">
        <f>IFERROR(VLOOKUP($D112,'Master Sheet'!$B:$AA,8,FALSE),"")</f>
        <v>242.95499999999998</v>
      </c>
      <c r="M112" s="9"/>
    </row>
    <row r="113" spans="1:13" x14ac:dyDescent="0.25">
      <c r="A113" s="10"/>
      <c r="B113" s="31"/>
      <c r="C113" s="31"/>
      <c r="D113" s="32" t="s">
        <v>97</v>
      </c>
      <c r="E113" s="33"/>
      <c r="F113" s="2"/>
      <c r="G113" s="17" t="str">
        <f>IFERROR(VLOOKUP($D113,'Master Sheet'!$B:$AA,3,FALSE),"")</f>
        <v>SW-15H DIFFUSION DOME (SB-5000)</v>
      </c>
      <c r="H113" s="2"/>
      <c r="I113" s="2" t="str">
        <f>IFERROR(VLOOKUP($D113,'Master Sheet'!$B:$AA,2,FALSE),"")</f>
        <v>FSW90501</v>
      </c>
      <c r="J113" s="34" t="str">
        <f>IFERROR(VLOOKUP($D113,'Master Sheet'!$B:$AA,5,FALSE),"")</f>
        <v>18208041657</v>
      </c>
      <c r="K113" s="35">
        <f>IFERROR(VLOOKUP($D113,'Master Sheet'!$B:$AA,8,FALSE),"")</f>
        <v>269.95499999999998</v>
      </c>
      <c r="M113" s="9"/>
    </row>
    <row r="114" spans="1:13" x14ac:dyDescent="0.25">
      <c r="A114" s="10"/>
      <c r="B114" s="31"/>
      <c r="C114" s="31"/>
      <c r="D114" s="32" t="s">
        <v>298</v>
      </c>
      <c r="E114" s="33"/>
      <c r="F114" s="2"/>
      <c r="G114" s="17" t="str">
        <f>IFERROR(VLOOKUP($D114,'Master Sheet'!$B:$AA,3,FALSE),"")</f>
        <v>FLEXIBLE ARM CLIP SW-C1</v>
      </c>
      <c r="H114" s="2"/>
      <c r="I114" s="2" t="str">
        <f>IFERROR(VLOOKUP($D114,'Master Sheet'!$B:$AA,2,FALSE),"")</f>
        <v>FXA10362</v>
      </c>
      <c r="J114" s="34" t="str">
        <f>IFERROR(VLOOKUP($D114,'Master Sheet'!$B:$AA,5,FALSE),"")</f>
        <v>018208049066</v>
      </c>
      <c r="K114" s="35">
        <f>IFERROR(VLOOKUP($D114,'Master Sheet'!$B:$AA,8,FALSE),"")</f>
        <v>719.95500000000004</v>
      </c>
      <c r="M114" s="9"/>
    </row>
    <row r="115" spans="1:13" x14ac:dyDescent="0.25">
      <c r="A115" s="10"/>
      <c r="B115" s="31"/>
      <c r="C115" s="31"/>
      <c r="D115" s="32" t="s">
        <v>98</v>
      </c>
      <c r="E115" s="33"/>
      <c r="F115" s="2"/>
      <c r="G115" s="17" t="str">
        <f>IFERROR(VLOOKUP($D115,'Master Sheet'!$B:$AA,3,FALSE),"")</f>
        <v>ADAPTER RING SY-1-67</v>
      </c>
      <c r="H115" s="2"/>
      <c r="I115" s="2" t="str">
        <f>IFERROR(VLOOKUP($D115,'Master Sheet'!$B:$AA,2,FALSE),"")</f>
        <v>FXA10368</v>
      </c>
      <c r="J115" s="34" t="str">
        <f>IFERROR(VLOOKUP($D115,'Master Sheet'!$B:$AA,5,FALSE),"")</f>
        <v>018208047994</v>
      </c>
      <c r="K115" s="35">
        <f>IFERROR(VLOOKUP($D115,'Master Sheet'!$B:$AA,8,FALSE),"")</f>
        <v>431.95499999999998</v>
      </c>
      <c r="M115" s="9"/>
    </row>
    <row r="116" spans="1:13" x14ac:dyDescent="0.25">
      <c r="A116" s="10"/>
      <c r="B116" s="31"/>
      <c r="C116" s="31"/>
      <c r="D116" s="32" t="s">
        <v>99</v>
      </c>
      <c r="E116" s="33"/>
      <c r="F116" s="2"/>
      <c r="G116" s="17" t="str">
        <f>IFERROR(VLOOKUP($D116,'Master Sheet'!$B:$AA,3,FALSE),"")</f>
        <v>SZ-1 COLOR FILTER HOLDER (SB-R200/R1/R1C1)</v>
      </c>
      <c r="H116" s="2"/>
      <c r="I116" s="2" t="str">
        <f>IFERROR(VLOOKUP($D116,'Master Sheet'!$B:$AA,2,FALSE),"")</f>
        <v>FXA10357</v>
      </c>
      <c r="J116" s="34" t="str">
        <f>IFERROR(VLOOKUP($D116,'Master Sheet'!$B:$AA,5,FALSE),"")</f>
        <v>018208049042</v>
      </c>
      <c r="K116" s="35">
        <f>IFERROR(VLOOKUP($D116,'Master Sheet'!$B:$AA,8,FALSE),"")</f>
        <v>134.95499999999998</v>
      </c>
      <c r="M116" s="9"/>
    </row>
    <row r="117" spans="1:13" x14ac:dyDescent="0.25">
      <c r="A117" s="10"/>
      <c r="B117" s="31"/>
      <c r="C117" s="31"/>
      <c r="D117" s="32" t="s">
        <v>100</v>
      </c>
      <c r="E117" s="33"/>
      <c r="F117" s="2"/>
      <c r="G117" s="17" t="str">
        <f>IFERROR(VLOOKUP($D117,'Master Sheet'!$B:$AA,3,FALSE),"")</f>
        <v>SZ-3 COLOR FILTER HOLDER (SB-700)</v>
      </c>
      <c r="H117" s="2"/>
      <c r="I117" s="2" t="str">
        <f>IFERROR(VLOOKUP($D117,'Master Sheet'!$B:$AA,2,FALSE),"")</f>
        <v>FXA10380</v>
      </c>
      <c r="J117" s="34" t="str">
        <f>IFERROR(VLOOKUP($D117,'Master Sheet'!$B:$AA,5,FALSE),"")</f>
        <v>018208049745</v>
      </c>
      <c r="K117" s="35">
        <f>IFERROR(VLOOKUP($D117,'Master Sheet'!$B:$AA,8,FALSE),"")</f>
        <v>251.95499999999998</v>
      </c>
      <c r="M117" s="9"/>
    </row>
    <row r="118" spans="1:13" ht="25.5" x14ac:dyDescent="0.25">
      <c r="A118" s="10"/>
      <c r="B118" s="31"/>
      <c r="C118" s="31"/>
      <c r="D118" s="32" t="s">
        <v>101</v>
      </c>
      <c r="E118" s="33"/>
      <c r="F118" s="2"/>
      <c r="G118" s="17" t="str">
        <f>IFERROR(VLOOKUP($D118,'Master Sheet'!$B:$AA,3,FALSE),"")</f>
        <v>UC-E21 USB CABLE (P900/AW130/120/S9900/9700/9600/P610/600)</v>
      </c>
      <c r="H118" s="2"/>
      <c r="I118" s="2" t="str">
        <f>IFERROR(VLOOKUP($D118,'Master Sheet'!$B:$AA,2,FALSE),"")</f>
        <v>VDU01301</v>
      </c>
      <c r="J118" s="34" t="str">
        <f>IFERROR(VLOOKUP($D118,'Master Sheet'!$B:$AA,5,FALSE),"")</f>
        <v>018208258857</v>
      </c>
      <c r="K118" s="35">
        <f>IFERROR(VLOOKUP($D118,'Master Sheet'!$B:$AA,8,FALSE),"")</f>
        <v>242.95499999999998</v>
      </c>
      <c r="M118" s="9"/>
    </row>
    <row r="119" spans="1:13" x14ac:dyDescent="0.25">
      <c r="A119" s="10"/>
      <c r="B119" s="31"/>
      <c r="C119" s="31"/>
      <c r="D119" s="32" t="s">
        <v>269</v>
      </c>
      <c r="E119" s="33"/>
      <c r="F119" s="2"/>
      <c r="G119" s="17" t="str">
        <f>IFERROR(VLOOKUP($D119,'Master Sheet'!$B:$AA,3,FALSE),"")</f>
        <v>USB Cable UC-E24</v>
      </c>
      <c r="H119" s="2"/>
      <c r="I119" s="2" t="str">
        <f>IFERROR(VLOOKUP($D119,'Master Sheet'!$B:$AA,2,FALSE),"")</f>
        <v>VDU10701</v>
      </c>
      <c r="J119" s="34" t="str">
        <f>IFERROR(VLOOKUP($D119,'Master Sheet'!$B:$AA,5,FALSE),"")</f>
        <v>018208042166</v>
      </c>
      <c r="K119" s="35">
        <f>IFERROR(VLOOKUP($D119,'Master Sheet'!$B:$AA,8,FALSE),"")</f>
        <v>512.95500000000004</v>
      </c>
      <c r="M119" s="9"/>
    </row>
    <row r="120" spans="1:13" x14ac:dyDescent="0.25">
      <c r="A120" s="10"/>
      <c r="B120" s="31"/>
      <c r="C120" s="31"/>
      <c r="D120" s="32" t="s">
        <v>270</v>
      </c>
      <c r="E120" s="33"/>
      <c r="F120" s="2"/>
      <c r="G120" s="17" t="str">
        <f>IFERROR(VLOOKUP($D120,'Master Sheet'!$B:$AA,3,FALSE),"")</f>
        <v>USB Cable UC-E25</v>
      </c>
      <c r="H120" s="2"/>
      <c r="I120" s="2" t="str">
        <f>IFERROR(VLOOKUP($D120,'Master Sheet'!$B:$AA,2,FALSE),"")</f>
        <v>VDU10801</v>
      </c>
      <c r="J120" s="34" t="str">
        <f>IFERROR(VLOOKUP($D120,'Master Sheet'!$B:$AA,5,FALSE),"")</f>
        <v>018208042234</v>
      </c>
      <c r="K120" s="35">
        <f>IFERROR(VLOOKUP($D120,'Master Sheet'!$B:$AA,8,FALSE),"")</f>
        <v>575.95500000000004</v>
      </c>
      <c r="M120" s="9"/>
    </row>
    <row r="121" spans="1:13" ht="38.25" x14ac:dyDescent="0.25">
      <c r="A121" s="10"/>
      <c r="B121" s="31"/>
      <c r="C121" s="31"/>
      <c r="D121" s="32" t="s">
        <v>37</v>
      </c>
      <c r="E121" s="33"/>
      <c r="F121" s="2"/>
      <c r="G121" s="17" t="str">
        <f>IFERROR(VLOOKUP($D121,'Master Sheet'!$B:$AA,3,FALSE),"")</f>
        <v>WR-A10 ADAPTER- Required for D4/D4S/D3/D3X/D2XS/D700/D300/D200 to use WR-R10 &amp; WR-T10</v>
      </c>
      <c r="H121" s="2"/>
      <c r="I121" s="2" t="str">
        <f>IFERROR(VLOOKUP($D121,'Master Sheet'!$B:$AA,2,FALSE),"")</f>
        <v>VWD00701</v>
      </c>
      <c r="J121" s="34" t="str">
        <f>IFERROR(VLOOKUP($D121,'Master Sheet'!$B:$AA,5,FALSE),"")</f>
        <v>018208271030</v>
      </c>
      <c r="K121" s="35">
        <f>IFERROR(VLOOKUP($D121,'Master Sheet'!$B:$AA,8,FALSE),"")</f>
        <v>1106.9550000000002</v>
      </c>
      <c r="M121" s="9"/>
    </row>
    <row r="122" spans="1:13" x14ac:dyDescent="0.25">
      <c r="A122" s="10"/>
      <c r="B122" s="31"/>
      <c r="C122" s="31"/>
      <c r="D122" s="32" t="s">
        <v>480</v>
      </c>
      <c r="E122" s="33"/>
      <c r="F122" s="2"/>
      <c r="G122" s="17" t="str">
        <f>IFERROR(VLOOKUP($D122,'Master Sheet'!$B:$AA,3,FALSE),"")</f>
        <v>WR-R11A WIRELESS REMOTE CONTROLLER</v>
      </c>
      <c r="H122" s="2"/>
      <c r="I122" s="2" t="str">
        <f>IFERROR(VLOOKUP($D122,'Master Sheet'!$B:$AA,2,FALSE),"")</f>
        <v>VBJ005CG</v>
      </c>
      <c r="J122" s="34" t="str">
        <f>IFERROR(VLOOKUP($D122,'Master Sheet'!$B:$AA,5,FALSE),"")</f>
        <v>4960759905192</v>
      </c>
      <c r="K122" s="35">
        <f>IFERROR(VLOOKUP($D122,'Master Sheet'!$B:$AA,8,FALSE),"")</f>
        <v>3365.9549999999999</v>
      </c>
      <c r="M122" s="9"/>
    </row>
    <row r="123" spans="1:13" x14ac:dyDescent="0.25">
      <c r="A123" s="10"/>
      <c r="B123" s="31"/>
      <c r="C123" s="31"/>
      <c r="D123" s="32" t="s">
        <v>35</v>
      </c>
      <c r="E123" s="33"/>
      <c r="F123" s="2"/>
      <c r="G123" s="17" t="str">
        <f>IFERROR(VLOOKUP($D123,'Master Sheet'!$B:$AA,3,FALSE),"")</f>
        <v xml:space="preserve">WR-T10 WIRELESS REMOTE TRANSMITTER </v>
      </c>
      <c r="H123" s="2"/>
      <c r="I123" s="2" t="str">
        <f>IFERROR(VLOOKUP($D123,'Master Sheet'!$B:$AA,2,FALSE),"")</f>
        <v>VBJ003AE</v>
      </c>
      <c r="J123" s="34" t="str">
        <f>IFERROR(VLOOKUP($D123,'Master Sheet'!$B:$AA,5,FALSE),"")</f>
        <v>018208933525</v>
      </c>
      <c r="K123" s="35">
        <f>IFERROR(VLOOKUP($D123,'Master Sheet'!$B:$AA,8,FALSE),"")</f>
        <v>1475.9550000000002</v>
      </c>
      <c r="M123" s="9"/>
    </row>
    <row r="124" spans="1:13" x14ac:dyDescent="0.25">
      <c r="A124" s="10"/>
      <c r="B124" s="31"/>
      <c r="C124" s="31"/>
      <c r="D124" s="32" t="s">
        <v>102</v>
      </c>
      <c r="E124" s="33"/>
      <c r="F124" s="2"/>
      <c r="G124" s="17" t="str">
        <f>IFERROR(VLOOKUP($D124,'Master Sheet'!$B:$AA,3,FALSE),"")</f>
        <v>COOLPIX P950 BLACK</v>
      </c>
      <c r="H124" s="2"/>
      <c r="I124" s="2" t="str">
        <f>IFERROR(VLOOKUP($D124,'Master Sheet'!$B:$AA,2,FALSE),"")</f>
        <v>VQA100MA</v>
      </c>
      <c r="J124" s="34" t="str">
        <f>IFERROR(VLOOKUP($D124,'Master Sheet'!$B:$AA,5,FALSE),"")</f>
        <v>4960759912886</v>
      </c>
      <c r="K124" s="35">
        <f>IFERROR(VLOOKUP($D124,'Master Sheet'!$B:$AA,8,FALSE),"")</f>
        <v>15659.955000000002</v>
      </c>
      <c r="M124" s="9"/>
    </row>
    <row r="125" spans="1:13" x14ac:dyDescent="0.25">
      <c r="A125" s="10"/>
      <c r="B125" s="31"/>
      <c r="C125" s="31"/>
      <c r="D125" s="32" t="s">
        <v>584</v>
      </c>
      <c r="E125" s="33"/>
      <c r="F125" s="2"/>
      <c r="G125" s="17" t="str">
        <f>IFERROR(VLOOKUP($D125,'Master Sheet'!$B:$AA,3,FALSE),"")</f>
        <v>Nikon Z30 Mirrorless Digital Camera (Body Only)</v>
      </c>
      <c r="H125" s="2"/>
      <c r="I125" s="2" t="str">
        <f>IFERROR(VLOOKUP($D125,'Master Sheet'!$B:$AA,2,FALSE),"")</f>
        <v>VOA110AM</v>
      </c>
      <c r="J125" s="34" t="str">
        <f>IFERROR(VLOOKUP($D125,'Master Sheet'!$B:$AA,5,FALSE),"")</f>
        <v>4960759913593</v>
      </c>
      <c r="K125" s="35">
        <f>IFERROR(VLOOKUP($D125,'Master Sheet'!$B:$AA,8,FALSE),"")</f>
        <v>13697.955000000002</v>
      </c>
      <c r="M125" s="9"/>
    </row>
    <row r="126" spans="1:13" ht="25.5" x14ac:dyDescent="0.25">
      <c r="A126" s="10"/>
      <c r="B126" s="31"/>
      <c r="C126" s="31"/>
      <c r="D126" s="32" t="s">
        <v>585</v>
      </c>
      <c r="E126" s="33"/>
      <c r="F126" s="2"/>
      <c r="G126" s="17" t="str">
        <f>IFERROR(VLOOKUP($D126,'Master Sheet'!$B:$AA,3,FALSE),"")</f>
        <v>Nikon Z30 Mirrorless Digital Camera +16-50MM f3.5-6.3 VR DX</v>
      </c>
      <c r="H126" s="2"/>
      <c r="I126" s="2">
        <f>IFERROR(VLOOKUP($D126,'Master Sheet'!$B:$AA,2,FALSE),"")</f>
        <v>0</v>
      </c>
      <c r="J126" s="34" t="str">
        <f>IFERROR(VLOOKUP($D126,'Master Sheet'!$B:$AA,5,FALSE),"")</f>
        <v>6009658263250</v>
      </c>
      <c r="K126" s="35">
        <f>IFERROR(VLOOKUP($D126,'Master Sheet'!$B:$AA,8,FALSE),"")</f>
        <v>16829.955000000002</v>
      </c>
      <c r="M126" s="9"/>
    </row>
    <row r="127" spans="1:13" x14ac:dyDescent="0.25">
      <c r="A127" s="10"/>
      <c r="B127" s="31"/>
      <c r="C127" s="31"/>
      <c r="D127" s="32" t="s">
        <v>366</v>
      </c>
      <c r="E127" s="33"/>
      <c r="F127" s="2"/>
      <c r="G127" s="17" t="str">
        <f>IFERROR(VLOOKUP($D127,'Master Sheet'!$B:$AA,3,FALSE),"")</f>
        <v>Nikon Z5 Mirrorless Digital Camera (Body Only)</v>
      </c>
      <c r="H127" s="2"/>
      <c r="I127" s="2" t="str">
        <f>IFERROR(VLOOKUP($D127,'Master Sheet'!$B:$AA,2,FALSE),"")</f>
        <v>VOA040AM</v>
      </c>
      <c r="J127" s="34" t="str">
        <f>IFERROR(VLOOKUP($D127,'Master Sheet'!$B:$AA,5,FALSE),"")</f>
        <v>4960759912596</v>
      </c>
      <c r="K127" s="35">
        <f>IFERROR(VLOOKUP($D127,'Master Sheet'!$B:$AA,8,FALSE),"")</f>
        <v>24263.955000000002</v>
      </c>
      <c r="M127" s="9"/>
    </row>
    <row r="128" spans="1:13" ht="25.5" x14ac:dyDescent="0.25">
      <c r="A128" s="10"/>
      <c r="B128" s="31"/>
      <c r="C128" s="31"/>
      <c r="D128" s="32" t="s">
        <v>883</v>
      </c>
      <c r="E128" s="33"/>
      <c r="F128" s="2"/>
      <c r="G128" s="17" t="str">
        <f>IFERROR(VLOOKUP($D128,'Master Sheet'!$B:$AA,3,FALSE),"")</f>
        <v>Nikon Z50 II Mirrorless Digital Camera (Body Only)</v>
      </c>
      <c r="H128" s="2"/>
      <c r="I128" s="2" t="str">
        <f>IFERROR(VLOOKUP($D128,'Master Sheet'!$B:$AA,2,FALSE),"")</f>
        <v>VOA150AM</v>
      </c>
      <c r="J128" s="34" t="str">
        <f>IFERROR(VLOOKUP($D128,'Master Sheet'!$B:$AA,5,FALSE),"")</f>
        <v>4960759916785</v>
      </c>
      <c r="K128" s="35">
        <f>IFERROR(VLOOKUP($D128,'Master Sheet'!$B:$AA,8,FALSE),"")</f>
        <v>16433.955000000002</v>
      </c>
      <c r="M128" s="9"/>
    </row>
    <row r="129" spans="1:13" ht="25.5" x14ac:dyDescent="0.25">
      <c r="A129" s="10"/>
      <c r="B129" s="31"/>
      <c r="C129" s="31"/>
      <c r="D129" s="32" t="s">
        <v>884</v>
      </c>
      <c r="E129" s="33"/>
      <c r="F129" s="2"/>
      <c r="G129" s="17" t="str">
        <f>IFERROR(VLOOKUP($D129,'Master Sheet'!$B:$AA,3,FALSE),"")</f>
        <v>Nikon Z50 II Single Kit: 16-50MM f3.5-6.3 VR DX Lens+Bag  6009658263847</v>
      </c>
      <c r="H129" s="2"/>
      <c r="I129" s="2">
        <f>IFERROR(VLOOKUP($D129,'Master Sheet'!$B:$AA,2,FALSE),"")</f>
        <v>0</v>
      </c>
      <c r="J129" s="34" t="str">
        <f>IFERROR(VLOOKUP($D129,'Master Sheet'!$B:$AA,5,FALSE),"")</f>
        <v>6009658263847</v>
      </c>
      <c r="K129" s="35">
        <f>IFERROR(VLOOKUP($D129,'Master Sheet'!$B:$AA,8,FALSE),"")</f>
        <v>19574.955000000002</v>
      </c>
      <c r="M129" s="9"/>
    </row>
    <row r="130" spans="1:13" ht="38.25" x14ac:dyDescent="0.25">
      <c r="A130" s="10"/>
      <c r="B130" s="31"/>
      <c r="C130" s="31"/>
      <c r="D130" s="32" t="s">
        <v>885</v>
      </c>
      <c r="E130" s="33"/>
      <c r="F130" s="2"/>
      <c r="G130" s="17" t="str">
        <f>IFERROR(VLOOKUP($D130,'Master Sheet'!$B:$AA,3,FALSE),"")</f>
        <v>Nikon Z50 II Twin Kit: 16-50MM f3.5-6.3 VR DX+50-250MM F4.5-6.3 VR DX Lens+Bag+Card  6009658263854</v>
      </c>
      <c r="H130" s="2"/>
      <c r="I130" s="2">
        <f>IFERROR(VLOOKUP($D130,'Master Sheet'!$B:$AA,2,FALSE),"")</f>
        <v>0</v>
      </c>
      <c r="J130" s="34" t="str">
        <f>IFERROR(VLOOKUP($D130,'Master Sheet'!$B:$AA,5,FALSE),"")</f>
        <v>6009658263854</v>
      </c>
      <c r="K130" s="35">
        <f>IFERROR(VLOOKUP($D130,'Master Sheet'!$B:$AA,8,FALSE),"")</f>
        <v>25046.955000000002</v>
      </c>
      <c r="M130" s="9"/>
    </row>
    <row r="131" spans="1:13" ht="38.25" x14ac:dyDescent="0.25">
      <c r="A131" s="10"/>
      <c r="B131" s="31"/>
      <c r="C131" s="31"/>
      <c r="D131" s="32" t="s">
        <v>886</v>
      </c>
      <c r="E131" s="33"/>
      <c r="F131" s="2"/>
      <c r="G131" s="17" t="str">
        <f>IFERROR(VLOOKUP($D131,'Master Sheet'!$B:$AA,3,FALSE),"")</f>
        <v>Nikon Z50 II Trip Kti: 16-50MM f3.5-6.3+50-250MM f4.5-6.3+35MM f1.4 Lens+Bag+Card    6009658263861</v>
      </c>
      <c r="H131" s="2"/>
      <c r="I131" s="2">
        <f>IFERROR(VLOOKUP($D131,'Master Sheet'!$B:$AA,2,FALSE),"")</f>
        <v>0</v>
      </c>
      <c r="J131" s="34" t="str">
        <f>IFERROR(VLOOKUP($D131,'Master Sheet'!$B:$AA,5,FALSE),"")</f>
        <v>6009658263861</v>
      </c>
      <c r="K131" s="35">
        <f>IFERROR(VLOOKUP($D131,'Master Sheet'!$B:$AA,8,FALSE),"")</f>
        <v>33659.955000000002</v>
      </c>
      <c r="M131" s="9"/>
    </row>
    <row r="132" spans="1:13" ht="38.25" x14ac:dyDescent="0.25">
      <c r="A132" s="10"/>
      <c r="B132" s="31"/>
      <c r="C132" s="31"/>
      <c r="D132" s="32" t="s">
        <v>887</v>
      </c>
      <c r="E132" s="33"/>
      <c r="F132" s="2"/>
      <c r="G132" s="17" t="str">
        <f>IFERROR(VLOOKUP($D132,'Master Sheet'!$B:$AA,3,FALSE),"")</f>
        <v>Nikon Z50 II Creator Kit: 16-50MM f3.5-6.3 VR DX Lens+Bag+Card+ML-L7+Tripod+Mic  6009658263878</v>
      </c>
      <c r="H132" s="2"/>
      <c r="I132" s="2">
        <f>IFERROR(VLOOKUP($D132,'Master Sheet'!$B:$AA,2,FALSE),"")</f>
        <v>0</v>
      </c>
      <c r="J132" s="34" t="str">
        <f>IFERROR(VLOOKUP($D132,'Master Sheet'!$B:$AA,5,FALSE),"")</f>
        <v>6009658263878</v>
      </c>
      <c r="K132" s="35">
        <f>IFERROR(VLOOKUP($D132,'Master Sheet'!$B:$AA,8,FALSE),"")</f>
        <v>21914.955000000002</v>
      </c>
      <c r="M132" s="9"/>
    </row>
    <row r="133" spans="1:13" ht="38.25" x14ac:dyDescent="0.25">
      <c r="A133" s="10"/>
      <c r="B133" s="31"/>
      <c r="C133" s="31"/>
      <c r="D133" s="32" t="s">
        <v>888</v>
      </c>
      <c r="E133" s="33"/>
      <c r="F133" s="2"/>
      <c r="G133" s="17" t="str">
        <f>IFERROR(VLOOKUP($D133,'Master Sheet'!$B:$AA,3,FALSE),"")</f>
        <v>Nikon Z50 II Vlogging Kit: 35mm F1.4 Lens+Bag+Card+ML-L7+Tripod+Mic  6009658263885</v>
      </c>
      <c r="H133" s="2"/>
      <c r="I133" s="2">
        <f>IFERROR(VLOOKUP($D133,'Master Sheet'!$B:$AA,2,FALSE),"")</f>
        <v>0</v>
      </c>
      <c r="J133" s="34" t="str">
        <f>IFERROR(VLOOKUP($D133,'Master Sheet'!$B:$AA,5,FALSE),"")</f>
        <v>6009658263885</v>
      </c>
      <c r="K133" s="35">
        <f>IFERROR(VLOOKUP($D133,'Master Sheet'!$B:$AA,8,FALSE),"")</f>
        <v>28961.955000000002</v>
      </c>
      <c r="M133" s="9"/>
    </row>
    <row r="134" spans="1:13" ht="25.5" x14ac:dyDescent="0.25">
      <c r="A134" s="10"/>
      <c r="B134" s="31"/>
      <c r="C134" s="31"/>
      <c r="D134" s="32" t="s">
        <v>804</v>
      </c>
      <c r="E134" s="33"/>
      <c r="F134" s="2"/>
      <c r="G134" s="17" t="str">
        <f>IFERROR(VLOOKUP($D134,'Master Sheet'!$B:$AA,3,FALSE),"")</f>
        <v>Nikon Z5 Mirrorless Digital Camera+Z 24-50mm f3.5-6.3 Lens</v>
      </c>
      <c r="H134" s="2"/>
      <c r="I134" s="2">
        <f>IFERROR(VLOOKUP($D134,'Master Sheet'!$B:$AA,2,FALSE),"")</f>
        <v>0</v>
      </c>
      <c r="J134" s="34">
        <f>IFERROR(VLOOKUP($D134,'Master Sheet'!$B:$AA,5,FALSE),"")</f>
        <v>6009658262048</v>
      </c>
      <c r="K134" s="35">
        <f>IFERROR(VLOOKUP($D134,'Master Sheet'!$B:$AA,8,FALSE),"")</f>
        <v>29744.954999999998</v>
      </c>
      <c r="M134" s="9"/>
    </row>
    <row r="135" spans="1:13" x14ac:dyDescent="0.25">
      <c r="A135" s="10"/>
      <c r="B135" s="31"/>
      <c r="C135" s="31"/>
      <c r="D135" s="32" t="s">
        <v>413</v>
      </c>
      <c r="E135" s="33"/>
      <c r="F135" s="2"/>
      <c r="G135" s="17" t="str">
        <f>IFERROR(VLOOKUP($D135,'Master Sheet'!$B:$AA,3,FALSE),"")</f>
        <v>Nikon Z6 II Mirrorless Digital Camera Body</v>
      </c>
      <c r="H135" s="2"/>
      <c r="I135" s="2" t="str">
        <f>IFERROR(VLOOKUP($D135,'Master Sheet'!$B:$AA,2,FALSE),"")</f>
        <v>VOA060AM</v>
      </c>
      <c r="J135" s="34" t="str">
        <f>IFERROR(VLOOKUP($D135,'Master Sheet'!$B:$AA,5,FALSE),"")</f>
        <v>4960759905949</v>
      </c>
      <c r="K135" s="35">
        <f>IFERROR(VLOOKUP($D135,'Master Sheet'!$B:$AA,8,FALSE),"")</f>
        <v>39131.955000000002</v>
      </c>
      <c r="M135" s="9"/>
    </row>
    <row r="136" spans="1:13" x14ac:dyDescent="0.25">
      <c r="A136" s="10"/>
      <c r="B136" s="31"/>
      <c r="C136" s="31"/>
      <c r="D136" s="32" t="s">
        <v>862</v>
      </c>
      <c r="E136" s="33"/>
      <c r="F136" s="2"/>
      <c r="G136" s="17" t="str">
        <f>IFERROR(VLOOKUP($D136,'Master Sheet'!$B:$AA,3,FALSE),"")</f>
        <v>Nikon Z6 III Mirrorless Digital Camera Body</v>
      </c>
      <c r="H136" s="2"/>
      <c r="I136" s="2" t="str">
        <f>IFERROR(VLOOKUP($D136,'Master Sheet'!$B:$AA,2,FALSE),"")</f>
        <v>VOA130AM</v>
      </c>
      <c r="J136" s="34">
        <f>IFERROR(VLOOKUP($D136,'Master Sheet'!$B:$AA,5,FALSE),"")</f>
        <v>4960759916204</v>
      </c>
      <c r="K136" s="35">
        <f>IFERROR(VLOOKUP($D136,'Master Sheet'!$B:$AA,8,FALSE),"")</f>
        <v>43046.955000000002</v>
      </c>
      <c r="M136" s="9"/>
    </row>
    <row r="137" spans="1:13" ht="25.5" x14ac:dyDescent="0.25">
      <c r="A137" s="10"/>
      <c r="B137" s="31"/>
      <c r="C137" s="31"/>
      <c r="D137" s="32" t="s">
        <v>803</v>
      </c>
      <c r="E137" s="33"/>
      <c r="F137" s="2"/>
      <c r="G137" s="17" t="str">
        <f>IFERROR(VLOOKUP($D137,'Master Sheet'!$B:$AA,3,FALSE),"")</f>
        <v xml:space="preserve">Nikon Z6 II Mirrorless Digital Camera+NIKKOR Z 24-70mm f/4 S Lens </v>
      </c>
      <c r="H137" s="2"/>
      <c r="I137" s="2">
        <f>IFERROR(VLOOKUP($D137,'Master Sheet'!$B:$AA,2,FALSE),"")</f>
        <v>0</v>
      </c>
      <c r="J137" s="34">
        <f>IFERROR(VLOOKUP($D137,'Master Sheet'!$B:$AA,5,FALSE),"")</f>
        <v>6009658262215</v>
      </c>
      <c r="K137" s="35">
        <f>IFERROR(VLOOKUP($D137,'Master Sheet'!$B:$AA,8,FALSE),"")</f>
        <v>50084.955000000002</v>
      </c>
      <c r="M137" s="9"/>
    </row>
    <row r="138" spans="1:13" x14ac:dyDescent="0.25">
      <c r="A138" s="10"/>
      <c r="B138" s="31"/>
      <c r="C138" s="31"/>
      <c r="D138" s="32" t="s">
        <v>412</v>
      </c>
      <c r="E138" s="33"/>
      <c r="F138" s="2"/>
      <c r="G138" s="17" t="str">
        <f>IFERROR(VLOOKUP($D138,'Master Sheet'!$B:$AA,3,FALSE),"")</f>
        <v>Nikon Z7 II Mirrorless Digital Camera Body</v>
      </c>
      <c r="H138" s="2"/>
      <c r="I138" s="2" t="str">
        <f>IFERROR(VLOOKUP($D138,'Master Sheet'!$B:$AA,2,FALSE),"")</f>
        <v>VOA070AM</v>
      </c>
      <c r="J138" s="34" t="str">
        <f>IFERROR(VLOOKUP($D138,'Master Sheet'!$B:$AA,5,FALSE),"")</f>
        <v>4960759905734</v>
      </c>
      <c r="K138" s="35">
        <f>IFERROR(VLOOKUP($D138,'Master Sheet'!$B:$AA,8,FALSE),"")</f>
        <v>58697.955000000002</v>
      </c>
      <c r="M138" s="9"/>
    </row>
    <row r="139" spans="1:13" ht="25.5" x14ac:dyDescent="0.25">
      <c r="A139" s="10"/>
      <c r="B139" s="31"/>
      <c r="C139" s="31"/>
      <c r="D139" s="32" t="s">
        <v>808</v>
      </c>
      <c r="E139" s="33"/>
      <c r="F139" s="2"/>
      <c r="G139" s="17" t="str">
        <f>IFERROR(VLOOKUP($D139,'Master Sheet'!$B:$AA,3,FALSE),"")</f>
        <v xml:space="preserve">Nikon Z7 II Mirrorless Digital Camera+NIKKOR Z 24-70mm f/4 S Lens </v>
      </c>
      <c r="H139" s="2"/>
      <c r="I139" s="2">
        <f>IFERROR(VLOOKUP($D139,'Master Sheet'!$B:$AA,2,FALSE),"")</f>
        <v>0</v>
      </c>
      <c r="J139" s="34" t="str">
        <f>IFERROR(VLOOKUP($D139,'Master Sheet'!$B:$AA,5,FALSE),"")</f>
        <v>6009658262246</v>
      </c>
      <c r="K139" s="35">
        <f>IFERROR(VLOOKUP($D139,'Master Sheet'!$B:$AA,8,FALSE),"")</f>
        <v>69650.955000000002</v>
      </c>
      <c r="M139" s="9"/>
    </row>
    <row r="140" spans="1:13" x14ac:dyDescent="0.25">
      <c r="A140" s="10"/>
      <c r="B140" s="31"/>
      <c r="C140" s="31"/>
      <c r="D140" s="32" t="s">
        <v>647</v>
      </c>
      <c r="E140" s="33"/>
      <c r="F140" s="2"/>
      <c r="G140" s="17" t="str">
        <f>IFERROR(VLOOKUP($D140,'Master Sheet'!$B:$AA,3,FALSE),"")</f>
        <v>Nikon Z8 Mirrorless Digital Camera Body</v>
      </c>
      <c r="H140" s="2"/>
      <c r="I140" s="2" t="str">
        <f>IFERROR(VLOOKUP($D140,'Master Sheet'!$B:$AA,2,FALSE),"")</f>
        <v>VOA100AM</v>
      </c>
      <c r="J140" s="34" t="str">
        <f>IFERROR(VLOOKUP($D140,'Master Sheet'!$B:$AA,5,FALSE),"")</f>
        <v>4960759909985</v>
      </c>
      <c r="K140" s="35">
        <f>IFERROR(VLOOKUP($D140,'Master Sheet'!$B:$AA,8,FALSE),"")</f>
        <v>66527.955000000002</v>
      </c>
      <c r="M140" s="9"/>
    </row>
    <row r="141" spans="1:13" x14ac:dyDescent="0.25">
      <c r="A141" s="10"/>
      <c r="B141" s="31"/>
      <c r="C141" s="31"/>
      <c r="D141" s="32" t="s">
        <v>488</v>
      </c>
      <c r="E141" s="33"/>
      <c r="F141" s="2"/>
      <c r="G141" s="17" t="str">
        <f>IFERROR(VLOOKUP($D141,'Master Sheet'!$B:$AA,3,FALSE),"")</f>
        <v>Nikon Z9 Mirrorless Digital Camera Body</v>
      </c>
      <c r="H141" s="2"/>
      <c r="I141" s="2" t="str">
        <f>IFERROR(VLOOKUP($D141,'Master Sheet'!$B:$AA,2,FALSE),"")</f>
        <v>VOA080AM</v>
      </c>
      <c r="J141" s="34" t="str">
        <f>IFERROR(VLOOKUP($D141,'Master Sheet'!$B:$AA,5,FALSE),"")</f>
        <v>4960759912282</v>
      </c>
      <c r="K141" s="35">
        <f>IFERROR(VLOOKUP($D141,'Master Sheet'!$B:$AA,8,FALSE),"")</f>
        <v>97829.955000000002</v>
      </c>
      <c r="M141" s="9"/>
    </row>
    <row r="142" spans="1:13" x14ac:dyDescent="0.25">
      <c r="A142" s="10"/>
      <c r="B142" s="31"/>
      <c r="C142" s="31"/>
      <c r="D142" s="32" t="s">
        <v>811</v>
      </c>
      <c r="E142" s="33"/>
      <c r="F142" s="2"/>
      <c r="G142" s="17" t="str">
        <f>IFERROR(VLOOKUP($D142,'Master Sheet'!$B:$AA,3,FALSE),"")</f>
        <v>Nikon Z f Mirrorless Digital Camera (Body Only)</v>
      </c>
      <c r="H142" s="2"/>
      <c r="I142" s="2" t="str">
        <f>IFERROR(VLOOKUP($D142,'Master Sheet'!$B:$AA,2,FALSE),"")</f>
        <v>VOA120AM</v>
      </c>
      <c r="J142" s="34" t="str">
        <f>IFERROR(VLOOKUP($D142,'Master Sheet'!$B:$AA,5,FALSE),"")</f>
        <v>4960759913807</v>
      </c>
      <c r="K142" s="35">
        <f>IFERROR(VLOOKUP($D142,'Master Sheet'!$B:$AA,8,FALSE),"")</f>
        <v>41480.955000000002</v>
      </c>
      <c r="M142" s="9"/>
    </row>
    <row r="143" spans="1:13" x14ac:dyDescent="0.25">
      <c r="A143" s="10"/>
      <c r="B143" s="31"/>
      <c r="C143" s="31"/>
      <c r="D143" s="32" t="s">
        <v>457</v>
      </c>
      <c r="E143" s="33"/>
      <c r="F143" s="2"/>
      <c r="G143" s="17" t="str">
        <f>IFERROR(VLOOKUP($D143,'Master Sheet'!$B:$AA,3,FALSE),"")</f>
        <v>Nikon Z fc Mirrorless Digital Camera BODY</v>
      </c>
      <c r="H143" s="2"/>
      <c r="I143" s="2" t="str">
        <f>IFERROR(VLOOKUP($D143,'Master Sheet'!$B:$AA,2,FALSE),"")</f>
        <v>VOA090AM</v>
      </c>
      <c r="J143" s="34" t="str">
        <f>IFERROR(VLOOKUP($D143,'Master Sheet'!$B:$AA,5,FALSE),"")</f>
        <v>4960759906373</v>
      </c>
      <c r="K143" s="35">
        <f>IFERROR(VLOOKUP($D143,'Master Sheet'!$B:$AA,8,FALSE),"")</f>
        <v>17999.955000000002</v>
      </c>
      <c r="M143" s="9"/>
    </row>
    <row r="144" spans="1:13" ht="25.5" x14ac:dyDescent="0.25">
      <c r="A144" s="10"/>
      <c r="B144" s="31"/>
      <c r="C144" s="31"/>
      <c r="D144" s="32" t="s">
        <v>458</v>
      </c>
      <c r="E144" s="33"/>
      <c r="F144" s="2"/>
      <c r="G144" s="17" t="str">
        <f>IFERROR(VLOOKUP($D144,'Master Sheet'!$B:$AA,3,FALSE),"")</f>
        <v>Nikon Z fc Mirrorless Digital Camera  / 16-50MM SILVER</v>
      </c>
      <c r="H144" s="2"/>
      <c r="I144" s="2">
        <f>IFERROR(VLOOKUP($D144,'Master Sheet'!$B:$AA,2,FALSE),"")</f>
        <v>0</v>
      </c>
      <c r="J144" s="34" t="str">
        <f>IFERROR(VLOOKUP($D144,'Master Sheet'!$B:$AA,5,FALSE),"")</f>
        <v>6009658262482</v>
      </c>
      <c r="K144" s="35">
        <f>IFERROR(VLOOKUP($D144,'Master Sheet'!$B:$AA,8,FALSE),"")</f>
        <v>21131.955000000002</v>
      </c>
      <c r="M144" s="9"/>
    </row>
    <row r="145" spans="1:13" ht="25.5" x14ac:dyDescent="0.25">
      <c r="A145" s="10"/>
      <c r="B145" s="31"/>
      <c r="C145" s="31"/>
      <c r="D145" s="32" t="s">
        <v>812</v>
      </c>
      <c r="E145" s="33"/>
      <c r="F145" s="2"/>
      <c r="G145" s="17" t="str">
        <f>IFERROR(VLOOKUP($D145,'Master Sheet'!$B:$AA,3,FALSE),"")</f>
        <v>Nikon Z f Mirrorless Digital Camera (Body) + SmallRig L-Shape Grip 4262</v>
      </c>
      <c r="H145" s="2"/>
      <c r="I145" s="2">
        <f>IFERROR(VLOOKUP($D145,'Master Sheet'!$B:$AA,2,FALSE),"")</f>
        <v>0</v>
      </c>
      <c r="J145" s="34" t="str">
        <f>IFERROR(VLOOKUP($D145,'Master Sheet'!$B:$AA,5,FALSE),"")</f>
        <v>No Barcode</v>
      </c>
      <c r="K145" s="35">
        <f>IFERROR(VLOOKUP($D145,'Master Sheet'!$B:$AA,8,FALSE),"")</f>
        <v>41480.955000000002</v>
      </c>
      <c r="M145" s="9"/>
    </row>
    <row r="146" spans="1:13" x14ac:dyDescent="0.25">
      <c r="A146" s="10"/>
      <c r="B146" s="31"/>
      <c r="C146" s="31"/>
      <c r="D146" s="32" t="s">
        <v>484</v>
      </c>
      <c r="E146" s="33"/>
      <c r="F146" s="2"/>
      <c r="G146" s="17" t="str">
        <f>IFERROR(VLOOKUP($D146,'Master Sheet'!$B:$AA,3,FALSE),"")</f>
        <v>Nikon NIKKOR Z 100-400mm F4.5-5.6 VR S Lens</v>
      </c>
      <c r="H146" s="2"/>
      <c r="I146" s="2" t="str">
        <f>IFERROR(VLOOKUP($D146,'Master Sheet'!$B:$AA,2,FALSE),"")</f>
        <v>JMA716DA</v>
      </c>
      <c r="J146" s="34" t="str">
        <f>IFERROR(VLOOKUP($D146,'Master Sheet'!$B:$AA,5,FALSE),"")</f>
        <v>4960759911070</v>
      </c>
      <c r="K146" s="35">
        <f>IFERROR(VLOOKUP($D146,'Master Sheet'!$B:$AA,8,FALSE),"")</f>
        <v>50876.955000000002</v>
      </c>
      <c r="M146" s="9"/>
    </row>
    <row r="147" spans="1:13" x14ac:dyDescent="0.25">
      <c r="A147" s="10"/>
      <c r="B147" s="31"/>
      <c r="C147" s="31"/>
      <c r="D147" s="32" t="s">
        <v>422</v>
      </c>
      <c r="E147" s="33"/>
      <c r="F147" s="2"/>
      <c r="G147" s="17" t="str">
        <f>IFERROR(VLOOKUP($D147,'Master Sheet'!$B:$AA,3,FALSE),"")</f>
        <v>Nikon NIKKOR Z MC 105mm f/2.8 VR S Macro Lens</v>
      </c>
      <c r="H147" s="2"/>
      <c r="I147" s="2" t="str">
        <f>IFERROR(VLOOKUP($D147,'Master Sheet'!$B:$AA,2,FALSE),"")</f>
        <v>JMA602DA</v>
      </c>
      <c r="J147" s="34" t="str">
        <f>IFERROR(VLOOKUP($D147,'Master Sheet'!$B:$AA,5,FALSE),"")</f>
        <v>018208201006</v>
      </c>
      <c r="K147" s="35">
        <f>IFERROR(VLOOKUP($D147,'Master Sheet'!$B:$AA,8,FALSE),"")</f>
        <v>18782.955000000002</v>
      </c>
      <c r="M147" s="9"/>
    </row>
    <row r="148" spans="1:13" x14ac:dyDescent="0.25">
      <c r="A148" s="10"/>
      <c r="B148" s="31"/>
      <c r="C148" s="31"/>
      <c r="D148" s="32" t="s">
        <v>635</v>
      </c>
      <c r="E148" s="33"/>
      <c r="F148" s="2"/>
      <c r="G148" s="17" t="str">
        <f>IFERROR(VLOOKUP($D148,'Master Sheet'!$B:$AA,3,FALSE),"")</f>
        <v>Nikon NIKKOR Z 12-28MM f3.5-6.3 VR PZ DX  Lens</v>
      </c>
      <c r="H148" s="2"/>
      <c r="I148" s="2" t="str">
        <f>IFERROR(VLOOKUP($D148,'Master Sheet'!$B:$AA,2,FALSE),"")</f>
        <v>JMA719DA</v>
      </c>
      <c r="J148" s="34" t="str">
        <f>IFERROR(VLOOKUP($D148,'Master Sheet'!$B:$AA,5,FALSE),"")</f>
        <v>018208201181</v>
      </c>
      <c r="K148" s="35">
        <f>IFERROR(VLOOKUP($D148,'Master Sheet'!$B:$AA,8,FALSE),"")</f>
        <v>6263.9549999999999</v>
      </c>
      <c r="M148" s="9"/>
    </row>
    <row r="149" spans="1:13" x14ac:dyDescent="0.25">
      <c r="A149" s="10"/>
      <c r="B149" s="31"/>
      <c r="C149" s="31"/>
      <c r="D149" s="32" t="s">
        <v>822</v>
      </c>
      <c r="E149" s="33"/>
      <c r="F149" s="2"/>
      <c r="G149" s="17" t="str">
        <f>IFERROR(VLOOKUP($D149,'Master Sheet'!$B:$AA,3,FALSE),"")</f>
        <v>Nikon NIKKOR Z 135mm f/1.8 S Plena Lens</v>
      </c>
      <c r="H149" s="2"/>
      <c r="I149" s="2" t="str">
        <f>IFERROR(VLOOKUP($D149,'Master Sheet'!$B:$AA,2,FALSE),"")</f>
        <v>JMA303DA</v>
      </c>
      <c r="J149" s="34" t="str">
        <f>IFERROR(VLOOKUP($D149,'Master Sheet'!$B:$AA,5,FALSE),"")</f>
        <v>018208201235</v>
      </c>
      <c r="K149" s="35">
        <f>IFERROR(VLOOKUP($D149,'Master Sheet'!$B:$AA,8,FALSE),"")</f>
        <v>46961.955000000002</v>
      </c>
      <c r="M149" s="9"/>
    </row>
    <row r="150" spans="1:13" x14ac:dyDescent="0.25">
      <c r="A150" s="10"/>
      <c r="B150" s="31"/>
      <c r="C150" s="31"/>
      <c r="D150" s="32" t="s">
        <v>407</v>
      </c>
      <c r="E150" s="33"/>
      <c r="F150" s="2"/>
      <c r="G150" s="17" t="str">
        <f>IFERROR(VLOOKUP($D150,'Master Sheet'!$B:$AA,3,FALSE),"")</f>
        <v>Nikon NIKKOR Z 14-24mm f/2.8 S Lens</v>
      </c>
      <c r="H150" s="2"/>
      <c r="I150" s="2" t="str">
        <f>IFERROR(VLOOKUP($D150,'Master Sheet'!$B:$AA,2,FALSE),"")</f>
        <v>JMA711DA</v>
      </c>
      <c r="J150" s="34" t="str">
        <f>IFERROR(VLOOKUP($D150,'Master Sheet'!$B:$AA,5,FALSE),"")</f>
        <v>018208200979</v>
      </c>
      <c r="K150" s="35">
        <f>IFERROR(VLOOKUP($D150,'Master Sheet'!$B:$AA,8,FALSE),"")</f>
        <v>39131.955000000002</v>
      </c>
      <c r="M150" s="9"/>
    </row>
    <row r="151" spans="1:13" x14ac:dyDescent="0.25">
      <c r="A151" s="10"/>
      <c r="B151" s="31"/>
      <c r="C151" s="31"/>
      <c r="D151" s="32" t="s">
        <v>104</v>
      </c>
      <c r="E151" s="33"/>
      <c r="F151" s="2"/>
      <c r="G151" s="17" t="str">
        <f>IFERROR(VLOOKUP($D151,'Master Sheet'!$B:$AA,3,FALSE),"")</f>
        <v>Nikon NIKKOR Z 14-30mm f/4 S Lens</v>
      </c>
      <c r="H151" s="2"/>
      <c r="I151" s="2" t="str">
        <f>IFERROR(VLOOKUP($D151,'Master Sheet'!$B:$AA,2,FALSE),"")</f>
        <v>JMA705DA</v>
      </c>
      <c r="J151" s="34" t="str">
        <f>IFERROR(VLOOKUP($D151,'Master Sheet'!$B:$AA,5,FALSE),"")</f>
        <v>018208200702</v>
      </c>
      <c r="K151" s="35">
        <f>IFERROR(VLOOKUP($D151,'Master Sheet'!$B:$AA,8,FALSE),"")</f>
        <v>23480.955000000002</v>
      </c>
      <c r="M151" s="9"/>
    </row>
    <row r="152" spans="1:13" x14ac:dyDescent="0.25">
      <c r="A152" s="10"/>
      <c r="B152" s="31"/>
      <c r="C152" s="31"/>
      <c r="D152" s="32" t="s">
        <v>105</v>
      </c>
      <c r="E152" s="33"/>
      <c r="F152" s="2"/>
      <c r="G152" s="17" t="str">
        <f>IFERROR(VLOOKUP($D152,'Master Sheet'!$B:$AA,3,FALSE),"")</f>
        <v>Nikon NIKKOR Z 16-50MM f3.5-6.3 VR DX  Lens</v>
      </c>
      <c r="H152" s="2"/>
      <c r="I152" s="2" t="str">
        <f>IFERROR(VLOOKUP($D152,'Master Sheet'!$B:$AA,2,FALSE),"")</f>
        <v>JMA706DA</v>
      </c>
      <c r="J152" s="34" t="str">
        <f>IFERROR(VLOOKUP($D152,'Master Sheet'!$B:$AA,5,FALSE),"")</f>
        <v>018208200849</v>
      </c>
      <c r="K152" s="35">
        <f>IFERROR(VLOOKUP($D152,'Master Sheet'!$B:$AA,8,FALSE),"")</f>
        <v>3545.9549999999999</v>
      </c>
      <c r="M152" s="9"/>
    </row>
    <row r="153" spans="1:13" ht="25.5" x14ac:dyDescent="0.25">
      <c r="A153" s="10"/>
      <c r="B153" s="31"/>
      <c r="C153" s="31"/>
      <c r="D153" s="32" t="s">
        <v>452</v>
      </c>
      <c r="E153" s="33"/>
      <c r="F153" s="2"/>
      <c r="G153" s="17" t="str">
        <f>IFERROR(VLOOKUP($D153,'Master Sheet'!$B:$AA,3,FALSE),"")</f>
        <v>Nikon NIKKOR Z 16-50MM f3.5-6.3 VR DX  Lens (Silver)</v>
      </c>
      <c r="H153" s="2"/>
      <c r="I153" s="2" t="str">
        <f>IFERROR(VLOOKUP($D153,'Master Sheet'!$B:$AA,2,FALSE),"")</f>
        <v>JMA715DA</v>
      </c>
      <c r="J153" s="34" t="str">
        <f>IFERROR(VLOOKUP($D153,'Master Sheet'!$B:$AA,5,FALSE),"")</f>
        <v>018208201099</v>
      </c>
      <c r="K153" s="35">
        <f>IFERROR(VLOOKUP($D153,'Master Sheet'!$B:$AA,8,FALSE),"")</f>
        <v>3545.9549999999999</v>
      </c>
      <c r="M153" s="9"/>
    </row>
    <row r="154" spans="1:13" x14ac:dyDescent="0.25">
      <c r="A154" s="10"/>
      <c r="B154" s="31"/>
      <c r="C154" s="31"/>
      <c r="D154" s="32" t="s">
        <v>603</v>
      </c>
      <c r="E154" s="33"/>
      <c r="F154" s="2"/>
      <c r="G154" s="17" t="str">
        <f>IFERROR(VLOOKUP($D154,'Master Sheet'!$B:$AA,3,FALSE),"")</f>
        <v>Nikon NIKKOR Z 17-28mm f/2.8 Lens</v>
      </c>
      <c r="H154" s="2"/>
      <c r="I154" s="2" t="str">
        <f>IFERROR(VLOOKUP($D154,'Master Sheet'!$B:$AA,2,FALSE),"")</f>
        <v>JMA718DA</v>
      </c>
      <c r="J154" s="34" t="str">
        <f>IFERROR(VLOOKUP($D154,'Master Sheet'!$B:$AA,5,FALSE),"")</f>
        <v>018208201150</v>
      </c>
      <c r="K154" s="35">
        <f>IFERROR(VLOOKUP($D154,'Master Sheet'!$B:$AA,8,FALSE),"")</f>
        <v>21914.955000000002</v>
      </c>
      <c r="M154" s="9"/>
    </row>
    <row r="155" spans="1:13" x14ac:dyDescent="0.25">
      <c r="A155" s="10"/>
      <c r="B155" s="31"/>
      <c r="C155" s="31"/>
      <c r="D155" s="32" t="s">
        <v>710</v>
      </c>
      <c r="E155" s="33"/>
      <c r="F155" s="2"/>
      <c r="G155" s="17" t="str">
        <f>IFERROR(VLOOKUP($D155,'Master Sheet'!$B:$AA,3,FALSE),"")</f>
        <v>Nikon NIKKOR Z 180-600mm f/5.6-6.3 VR Lens</v>
      </c>
      <c r="H155" s="2"/>
      <c r="I155" s="2" t="str">
        <f>IFERROR(VLOOKUP($D155,'Master Sheet'!$B:$AA,2,FALSE),"")</f>
        <v>JMA720DA</v>
      </c>
      <c r="J155" s="34" t="str">
        <f>IFERROR(VLOOKUP($D155,'Master Sheet'!$B:$AA,5,FALSE),"")</f>
        <v>018208201174</v>
      </c>
      <c r="K155" s="35">
        <f>IFERROR(VLOOKUP($D155,'Master Sheet'!$B:$AA,8,FALSE),"")</f>
        <v>33650.955000000002</v>
      </c>
      <c r="M155" s="9"/>
    </row>
    <row r="156" spans="1:13" x14ac:dyDescent="0.25">
      <c r="A156" s="10"/>
      <c r="B156" s="31"/>
      <c r="C156" s="31"/>
      <c r="D156" s="32" t="s">
        <v>473</v>
      </c>
      <c r="E156" s="33"/>
      <c r="F156" s="2"/>
      <c r="G156" s="17" t="str">
        <f>IFERROR(VLOOKUP($D156,'Master Sheet'!$B:$AA,3,FALSE),"")</f>
        <v>Nikon NIKKOR Z 18-140MM F/3.5-6.3 VR DX Lens</v>
      </c>
      <c r="H156" s="2"/>
      <c r="I156" s="2" t="str">
        <f>IFERROR(VLOOKUP($D156,'Master Sheet'!$B:$AA,2,FALSE),"")</f>
        <v>JMA713DA</v>
      </c>
      <c r="J156" s="34" t="str">
        <f>IFERROR(VLOOKUP($D156,'Master Sheet'!$B:$AA,5,FALSE),"")</f>
        <v>018208201044</v>
      </c>
      <c r="K156" s="35">
        <f>IFERROR(VLOOKUP($D156,'Master Sheet'!$B:$AA,8,FALSE),"")</f>
        <v>9944.9550000000017</v>
      </c>
      <c r="M156" s="9"/>
    </row>
    <row r="157" spans="1:13" x14ac:dyDescent="0.25">
      <c r="A157" s="10"/>
      <c r="B157" s="31"/>
      <c r="C157" s="31"/>
      <c r="D157" s="32" t="s">
        <v>106</v>
      </c>
      <c r="E157" s="33"/>
      <c r="F157" s="2"/>
      <c r="G157" s="17" t="str">
        <f>IFERROR(VLOOKUP($D157,'Master Sheet'!$B:$AA,3,FALSE),"")</f>
        <v>Nikon NIKKOR Z 20mm F1.8 Z S Lens</v>
      </c>
      <c r="H157" s="2"/>
      <c r="I157" s="2" t="str">
        <f>IFERROR(VLOOKUP($D157,'Master Sheet'!$B:$AA,2,FALSE),"")</f>
        <v>JMA104DA</v>
      </c>
      <c r="J157" s="34" t="str">
        <f>IFERROR(VLOOKUP($D157,'Master Sheet'!$B:$AA,5,FALSE),"")</f>
        <v>018208200931</v>
      </c>
      <c r="K157" s="35">
        <f>IFERROR(VLOOKUP($D157,'Master Sheet'!$B:$AA,8,FALSE),"")</f>
        <v>19565.955000000002</v>
      </c>
      <c r="M157" s="9"/>
    </row>
    <row r="158" spans="1:13" x14ac:dyDescent="0.25">
      <c r="A158" s="10"/>
      <c r="B158" s="31"/>
      <c r="C158" s="31"/>
      <c r="D158" s="32" t="s">
        <v>482</v>
      </c>
      <c r="E158" s="33"/>
      <c r="F158" s="2"/>
      <c r="G158" s="17" t="str">
        <f>IFERROR(VLOOKUP($D158,'Master Sheet'!$B:$AA,3,FALSE),"")</f>
        <v>Nikon NIKKOR Z 24-120mm F4 S Lens</v>
      </c>
      <c r="H158" s="2"/>
      <c r="I158" s="2" t="str">
        <f>IFERROR(VLOOKUP($D158,'Master Sheet'!$B:$AA,2,FALSE),"")</f>
        <v>JMA714DA</v>
      </c>
      <c r="J158" s="34" t="str">
        <f>IFERROR(VLOOKUP($D158,'Master Sheet'!$B:$AA,5,FALSE),"")</f>
        <v>018208201051</v>
      </c>
      <c r="K158" s="35">
        <f>IFERROR(VLOOKUP($D158,'Master Sheet'!$B:$AA,8,FALSE),"")</f>
        <v>17216.955000000002</v>
      </c>
      <c r="M158" s="9"/>
    </row>
    <row r="159" spans="1:13" x14ac:dyDescent="0.25">
      <c r="A159" s="10"/>
      <c r="B159" s="31"/>
      <c r="C159" s="31"/>
      <c r="D159" s="32" t="s">
        <v>107</v>
      </c>
      <c r="E159" s="33"/>
      <c r="F159" s="2"/>
      <c r="G159" s="17" t="str">
        <f>IFERROR(VLOOKUP($D159,'Master Sheet'!$B:$AA,3,FALSE),"")</f>
        <v>Nikon NIKKOR Z 24-200mm F4-6.3 VR Z Lens</v>
      </c>
      <c r="H159" s="2"/>
      <c r="I159" s="2" t="str">
        <f>IFERROR(VLOOKUP($D159,'Master Sheet'!$B:$AA,2,FALSE),"")</f>
        <v>JMA710DA</v>
      </c>
      <c r="J159" s="34" t="str">
        <f>IFERROR(VLOOKUP($D159,'Master Sheet'!$B:$AA,5,FALSE),"")</f>
        <v>018208200924</v>
      </c>
      <c r="K159" s="35">
        <f>IFERROR(VLOOKUP($D159,'Master Sheet'!$B:$AA,8,FALSE),"")</f>
        <v>14480.955000000002</v>
      </c>
      <c r="M159" s="9"/>
    </row>
    <row r="160" spans="1:13" x14ac:dyDescent="0.25">
      <c r="A160" s="10"/>
      <c r="B160" s="31"/>
      <c r="C160" s="31"/>
      <c r="D160" s="32" t="s">
        <v>372</v>
      </c>
      <c r="E160" s="33"/>
      <c r="F160" s="2"/>
      <c r="G160" s="17" t="str">
        <f>IFERROR(VLOOKUP($D160,'Master Sheet'!$B:$AA,3,FALSE),"")</f>
        <v>Nikon NIKKOR Z 24-50mm f4-6.3</v>
      </c>
      <c r="H160" s="2"/>
      <c r="I160" s="2" t="str">
        <f>IFERROR(VLOOKUP($D160,'Master Sheet'!$B:$AA,2,FALSE),"")</f>
        <v>JMA712DA</v>
      </c>
      <c r="J160" s="34" t="str">
        <f>IFERROR(VLOOKUP($D160,'Master Sheet'!$B:$AA,5,FALSE),"")</f>
        <v>018208200962</v>
      </c>
      <c r="K160" s="35">
        <f>IFERROR(VLOOKUP($D160,'Master Sheet'!$B:$AA,8,FALSE),"")</f>
        <v>6263.9549999999999</v>
      </c>
      <c r="M160" s="9"/>
    </row>
    <row r="161" spans="1:13" x14ac:dyDescent="0.25">
      <c r="A161" s="10"/>
      <c r="B161" s="31"/>
      <c r="C161" s="31"/>
      <c r="D161" s="32" t="s">
        <v>108</v>
      </c>
      <c r="E161" s="33"/>
      <c r="F161" s="2"/>
      <c r="G161" s="17" t="str">
        <f>IFERROR(VLOOKUP($D161,'Master Sheet'!$B:$AA,3,FALSE),"")</f>
        <v>Nikon NIKKOR Z 24-70mm f/2.8 S Lens</v>
      </c>
      <c r="H161" s="2"/>
      <c r="I161" s="2" t="str">
        <f>IFERROR(VLOOKUP($D161,'Master Sheet'!$B:$AA,2,FALSE),"")</f>
        <v>JMA708DA</v>
      </c>
      <c r="J161" s="34" t="str">
        <f>IFERROR(VLOOKUP($D161,'Master Sheet'!$B:$AA,5,FALSE),"")</f>
        <v>018208200894</v>
      </c>
      <c r="K161" s="35">
        <f>IFERROR(VLOOKUP($D161,'Master Sheet'!$B:$AA,8,FALSE),"")</f>
        <v>40697.955000000002</v>
      </c>
      <c r="M161" s="9"/>
    </row>
    <row r="162" spans="1:13" x14ac:dyDescent="0.25">
      <c r="A162" s="10"/>
      <c r="B162" s="31"/>
      <c r="C162" s="31"/>
      <c r="D162" s="32" t="s">
        <v>109</v>
      </c>
      <c r="E162" s="33"/>
      <c r="F162" s="2"/>
      <c r="G162" s="17" t="str">
        <f>IFERROR(VLOOKUP($D162,'Master Sheet'!$B:$AA,3,FALSE),"")</f>
        <v>Nikon NIKKOR Z 24-70MM F4 Z S LENS</v>
      </c>
      <c r="H162" s="2"/>
      <c r="I162" s="2" t="str">
        <f>IFERROR(VLOOKUP($D162,'Master Sheet'!$B:$AA,2,FALSE),"")</f>
        <v>JMA704DA</v>
      </c>
      <c r="J162" s="34" t="str">
        <f>IFERROR(VLOOKUP($D162,'Master Sheet'!$B:$AA,5,FALSE),"")</f>
        <v>018208200726</v>
      </c>
      <c r="K162" s="35">
        <f>IFERROR(VLOOKUP($D162,'Master Sheet'!$B:$AA,8,FALSE),"")</f>
        <v>13049.955000000002</v>
      </c>
      <c r="M162" s="9"/>
    </row>
    <row r="163" spans="1:13" x14ac:dyDescent="0.25">
      <c r="A163" s="10"/>
      <c r="B163" s="31"/>
      <c r="C163" s="31"/>
      <c r="D163" s="32" t="s">
        <v>679</v>
      </c>
      <c r="E163" s="33"/>
      <c r="F163" s="2"/>
      <c r="G163" s="17" t="str">
        <f>IFERROR(VLOOKUP($D163,'Master Sheet'!$B:$AA,3,FALSE),"")</f>
        <v>Nikon NIKKOR Z 24mm f/1.7 DX Lens</v>
      </c>
      <c r="H163" s="2"/>
      <c r="I163" s="2" t="str">
        <f>IFERROR(VLOOKUP($D163,'Master Sheet'!$B:$AA,2,FALSE),"")</f>
        <v>JMA109DA</v>
      </c>
      <c r="J163" s="34" t="str">
        <f>IFERROR(VLOOKUP($D163,'Master Sheet'!$B:$AA,5,FALSE),"")</f>
        <v>018208201198</v>
      </c>
      <c r="K163" s="35">
        <f>IFERROR(VLOOKUP($D163,'Master Sheet'!$B:$AA,8,FALSE),"")</f>
        <v>5246.9549999999999</v>
      </c>
      <c r="M163" s="9"/>
    </row>
    <row r="164" spans="1:13" x14ac:dyDescent="0.25">
      <c r="A164" s="10"/>
      <c r="B164" s="31"/>
      <c r="C164" s="31"/>
      <c r="D164" s="32" t="s">
        <v>110</v>
      </c>
      <c r="E164" s="33"/>
      <c r="F164" s="2"/>
      <c r="G164" s="17" t="str">
        <f>IFERROR(VLOOKUP($D164,'Master Sheet'!$B:$AA,3,FALSE),"")</f>
        <v>Nikon NIKKOR Z 24mm f/1.8 S Lens</v>
      </c>
      <c r="H164" s="2"/>
      <c r="I164" s="2" t="str">
        <f>IFERROR(VLOOKUP($D164,'Master Sheet'!$B:$AA,2,FALSE),"")</f>
        <v>JMA103DA</v>
      </c>
      <c r="J164" s="34" t="str">
        <f>IFERROR(VLOOKUP($D164,'Master Sheet'!$B:$AA,5,FALSE),"")</f>
        <v>018208200801</v>
      </c>
      <c r="K164" s="35">
        <f>IFERROR(VLOOKUP($D164,'Master Sheet'!$B:$AA,8,FALSE),"")</f>
        <v>17999.955000000002</v>
      </c>
      <c r="M164" s="9"/>
    </row>
    <row r="165" spans="1:13" x14ac:dyDescent="0.25">
      <c r="A165" s="10"/>
      <c r="B165" s="31"/>
      <c r="C165" s="31"/>
      <c r="D165" s="32" t="s">
        <v>623</v>
      </c>
      <c r="E165" s="33"/>
      <c r="F165" s="2"/>
      <c r="G165" s="17" t="str">
        <f>IFERROR(VLOOKUP($D165,'Master Sheet'!$B:$AA,3,FALSE),"")</f>
        <v>Nikon NIKKOR Z 26mm f/2.8 Lens</v>
      </c>
      <c r="H165" s="2"/>
      <c r="I165" s="2" t="str">
        <f>IFERROR(VLOOKUP($D165,'Master Sheet'!$B:$AA,2,FALSE),"")</f>
        <v>JMA108DA</v>
      </c>
      <c r="J165" s="34" t="str">
        <f>IFERROR(VLOOKUP($D165,'Master Sheet'!$B:$AA,5,FALSE),"")</f>
        <v>018208201167</v>
      </c>
      <c r="K165" s="35">
        <f>IFERROR(VLOOKUP($D165,'Master Sheet'!$B:$AA,8,FALSE),"")</f>
        <v>8999.9550000000017</v>
      </c>
      <c r="M165" s="9"/>
    </row>
    <row r="166" spans="1:13" x14ac:dyDescent="0.25">
      <c r="A166" s="10"/>
      <c r="B166" s="31"/>
      <c r="C166" s="31"/>
      <c r="D166" s="32" t="s">
        <v>839</v>
      </c>
      <c r="E166" s="33"/>
      <c r="F166" s="2"/>
      <c r="G166" s="17" t="str">
        <f>IFERROR(VLOOKUP($D166,'Master Sheet'!$B:$AA,3,FALSE),"")</f>
        <v>Nikon NIKKOR Z 28-400mm F4-8 VR Lens</v>
      </c>
      <c r="H166" s="2"/>
      <c r="I166" s="2" t="str">
        <f>IFERROR(VLOOKUP($D166,'Master Sheet'!$B:$AA,2,FALSE),"")</f>
        <v>JMA722DA</v>
      </c>
      <c r="J166" s="34" t="str">
        <f>IFERROR(VLOOKUP($D166,'Master Sheet'!$B:$AA,5,FALSE),"")</f>
        <v>018208201259</v>
      </c>
      <c r="K166" s="35">
        <f>IFERROR(VLOOKUP($D166,'Master Sheet'!$B:$AA,8,FALSE),"")</f>
        <v>25046.955000000002</v>
      </c>
      <c r="M166" s="9"/>
    </row>
    <row r="167" spans="1:13" x14ac:dyDescent="0.25">
      <c r="A167" s="10"/>
      <c r="B167" s="31"/>
      <c r="C167" s="31"/>
      <c r="D167" s="32" t="s">
        <v>526</v>
      </c>
      <c r="E167" s="33"/>
      <c r="F167" s="2"/>
      <c r="G167" s="17" t="str">
        <f>IFERROR(VLOOKUP($D167,'Master Sheet'!$B:$AA,3,FALSE),"")</f>
        <v>Nikon NIKKOR Z 28-75mm F2.8 S Lens</v>
      </c>
      <c r="H167" s="2"/>
      <c r="I167" s="2" t="str">
        <f>IFERROR(VLOOKUP($D167,'Master Sheet'!$B:$AA,2,FALSE),"")</f>
        <v>JMA717DA</v>
      </c>
      <c r="J167" s="34" t="str">
        <f>IFERROR(VLOOKUP($D167,'Master Sheet'!$B:$AA,5,FALSE),"")</f>
        <v>018208201075</v>
      </c>
      <c r="K167" s="35">
        <f>IFERROR(VLOOKUP($D167,'Master Sheet'!$B:$AA,8,FALSE),"")</f>
        <v>18782.955000000002</v>
      </c>
      <c r="M167" s="9"/>
    </row>
    <row r="168" spans="1:13" x14ac:dyDescent="0.25">
      <c r="A168" s="10"/>
      <c r="B168" s="31"/>
      <c r="C168" s="31"/>
      <c r="D168" s="32" t="s">
        <v>517</v>
      </c>
      <c r="E168" s="33"/>
      <c r="F168" s="2"/>
      <c r="G168" s="17" t="str">
        <f>IFERROR(VLOOKUP($D168,'Master Sheet'!$B:$AA,3,FALSE),"")</f>
        <v>Nikon NIKKOR Z 28mm f/2.8 Lens</v>
      </c>
      <c r="H168" s="2"/>
      <c r="I168" s="2" t="str">
        <f>IFERROR(VLOOKUP($D168,'Master Sheet'!$B:$AA,2,FALSE),"")</f>
        <v>JMA105DA</v>
      </c>
      <c r="J168" s="34" t="str">
        <f>IFERROR(VLOOKUP($D168,'Master Sheet'!$B:$AA,5,FALSE),"")</f>
        <v>018208201013</v>
      </c>
      <c r="K168" s="35">
        <f>IFERROR(VLOOKUP($D168,'Master Sheet'!$B:$AA,8,FALSE),"")</f>
        <v>4931.9549999999999</v>
      </c>
      <c r="M168" s="9"/>
    </row>
    <row r="169" spans="1:13" x14ac:dyDescent="0.25">
      <c r="A169" s="10"/>
      <c r="B169" s="31"/>
      <c r="C169" s="31"/>
      <c r="D169" s="32" t="s">
        <v>456</v>
      </c>
      <c r="E169" s="33"/>
      <c r="F169" s="2"/>
      <c r="G169" s="17" t="str">
        <f>IFERROR(VLOOKUP($D169,'Master Sheet'!$B:$AA,3,FALSE),"")</f>
        <v>Nikon NIKKOR Z 28mm f/2.8 SE Lens</v>
      </c>
      <c r="H169" s="2"/>
      <c r="I169" s="2" t="str">
        <f>IFERROR(VLOOKUP($D169,'Master Sheet'!$B:$AA,2,FALSE),"")</f>
        <v>JMA107DA</v>
      </c>
      <c r="J169" s="34" t="str">
        <f>IFERROR(VLOOKUP($D169,'Master Sheet'!$B:$AA,5,FALSE),"")</f>
        <v>018208201105</v>
      </c>
      <c r="K169" s="35">
        <f>IFERROR(VLOOKUP($D169,'Master Sheet'!$B:$AA,8,FALSE),"")</f>
        <v>4931.9549999999999</v>
      </c>
      <c r="M169" s="9"/>
    </row>
    <row r="170" spans="1:13" x14ac:dyDescent="0.25">
      <c r="A170" s="10"/>
      <c r="B170" s="31"/>
      <c r="C170" s="31"/>
      <c r="D170" s="32" t="s">
        <v>866</v>
      </c>
      <c r="E170" s="33"/>
      <c r="F170" s="2"/>
      <c r="G170" s="17" t="str">
        <f>IFERROR(VLOOKUP($D170,'Master Sheet'!$B:$AA,3,FALSE),"")</f>
        <v>Nikon NIKKOR Z 35MM F1.4 Z LENS</v>
      </c>
      <c r="H170" s="2"/>
      <c r="I170" s="2" t="str">
        <f>IFERROR(VLOOKUP($D170,'Master Sheet'!$B:$AA,2,FALSE),"")</f>
        <v>JMA112DA</v>
      </c>
      <c r="J170" s="34" t="str">
        <f>IFERROR(VLOOKUP($D170,'Master Sheet'!$B:$AA,5,FALSE),"")</f>
        <v>018208201266</v>
      </c>
      <c r="K170" s="35">
        <f>IFERROR(VLOOKUP($D170,'Master Sheet'!$B:$AA,8,FALSE),"")</f>
        <v>10178.955000000002</v>
      </c>
      <c r="M170" s="9"/>
    </row>
    <row r="171" spans="1:13" x14ac:dyDescent="0.25">
      <c r="A171" s="10"/>
      <c r="B171" s="31"/>
      <c r="C171" s="31"/>
      <c r="D171" s="32" t="s">
        <v>111</v>
      </c>
      <c r="E171" s="33"/>
      <c r="F171" s="2"/>
      <c r="G171" s="17" t="str">
        <f>IFERROR(VLOOKUP($D171,'Master Sheet'!$B:$AA,3,FALSE),"")</f>
        <v>Nikon NIKKOR Z 35MM F1.8 Z S LENS</v>
      </c>
      <c r="H171" s="2"/>
      <c r="I171" s="2" t="str">
        <f>IFERROR(VLOOKUP($D171,'Master Sheet'!$B:$AA,2,FALSE),"")</f>
        <v>JMA102DA</v>
      </c>
      <c r="J171" s="34" t="str">
        <f>IFERROR(VLOOKUP($D171,'Master Sheet'!$B:$AA,5,FALSE),"")</f>
        <v>018208200818</v>
      </c>
      <c r="K171" s="35">
        <f>IFERROR(VLOOKUP($D171,'Master Sheet'!$B:$AA,8,FALSE),"")</f>
        <v>15659.955000000002</v>
      </c>
      <c r="M171" s="9"/>
    </row>
    <row r="172" spans="1:13" x14ac:dyDescent="0.25">
      <c r="A172" s="10"/>
      <c r="B172" s="31"/>
      <c r="C172" s="31"/>
      <c r="D172" s="32" t="s">
        <v>508</v>
      </c>
      <c r="E172" s="33"/>
      <c r="F172" s="2"/>
      <c r="G172" s="17" t="str">
        <f>IFERROR(VLOOKUP($D172,'Master Sheet'!$B:$AA,3,FALSE),"")</f>
        <v>Nikon NIKKOR Z 400mm f/2.8 VR S Lens</v>
      </c>
      <c r="H172" s="2"/>
      <c r="I172" s="2" t="str">
        <f>IFERROR(VLOOKUP($D172,'Master Sheet'!$B:$AA,2,FALSE),"")</f>
        <v>JMA501DA</v>
      </c>
      <c r="J172" s="34" t="str">
        <f>IFERROR(VLOOKUP($D172,'Master Sheet'!$B:$AA,5,FALSE),"")</f>
        <v>018208201112</v>
      </c>
      <c r="K172" s="35">
        <f>IFERROR(VLOOKUP($D172,'Master Sheet'!$B:$AA,8,FALSE),"")</f>
        <v>254348.95500000002</v>
      </c>
      <c r="M172" s="9"/>
    </row>
    <row r="173" spans="1:13" x14ac:dyDescent="0.25">
      <c r="A173" s="10"/>
      <c r="B173" s="31"/>
      <c r="C173" s="31"/>
      <c r="D173" s="32" t="s">
        <v>587</v>
      </c>
      <c r="E173" s="33"/>
      <c r="F173" s="2"/>
      <c r="G173" s="17" t="str">
        <f>IFERROR(VLOOKUP($D173,'Master Sheet'!$B:$AA,3,FALSE),"")</f>
        <v>Nikon NIKKOR Z 400mm f/4.5 VR S Lens</v>
      </c>
      <c r="H173" s="2"/>
      <c r="I173" s="2" t="str">
        <f>IFERROR(VLOOKUP($D173,'Master Sheet'!$B:$AA,2,FALSE),"")</f>
        <v>JMA503DA</v>
      </c>
      <c r="J173" s="34" t="str">
        <f>IFERROR(VLOOKUP($D173,'Master Sheet'!$B:$AA,5,FALSE),"")</f>
        <v>018208201129</v>
      </c>
      <c r="K173" s="35">
        <f>IFERROR(VLOOKUP($D173,'Master Sheet'!$B:$AA,8,FALSE),"")</f>
        <v>59480.955000000002</v>
      </c>
      <c r="M173" s="9"/>
    </row>
    <row r="174" spans="1:13" x14ac:dyDescent="0.25">
      <c r="A174" s="10"/>
      <c r="B174" s="31"/>
      <c r="C174" s="31"/>
      <c r="D174" s="32" t="s">
        <v>466</v>
      </c>
      <c r="E174" s="33"/>
      <c r="F174" s="2"/>
      <c r="G174" s="17" t="str">
        <f>IFERROR(VLOOKUP($D174,'Master Sheet'!$B:$AA,3,FALSE),"")</f>
        <v>Nikon NIKKOR Z 40mm f/2 Lens</v>
      </c>
      <c r="H174" s="2"/>
      <c r="I174" s="2" t="str">
        <f>IFERROR(VLOOKUP($D174,'Master Sheet'!$B:$AA,2,FALSE),"")</f>
        <v>JMA106DA</v>
      </c>
      <c r="J174" s="34" t="str">
        <f>IFERROR(VLOOKUP($D174,'Master Sheet'!$B:$AA,5,FALSE),"")</f>
        <v>018208201020</v>
      </c>
      <c r="K174" s="35">
        <f>IFERROR(VLOOKUP($D174,'Master Sheet'!$B:$AA,8,FALSE),"")</f>
        <v>5093.9549999999999</v>
      </c>
      <c r="M174" s="9"/>
    </row>
    <row r="175" spans="1:13" x14ac:dyDescent="0.25">
      <c r="A175" s="10"/>
      <c r="B175" s="31"/>
      <c r="C175" s="31"/>
      <c r="D175" s="32" t="s">
        <v>683</v>
      </c>
      <c r="E175" s="33"/>
      <c r="F175" s="2"/>
      <c r="G175" s="17" t="str">
        <f>IFERROR(VLOOKUP($D175,'Master Sheet'!$B:$AA,3,FALSE),"")</f>
        <v>Nikon NIKKOR Z 40mm f/2 SE Lens</v>
      </c>
      <c r="H175" s="2"/>
      <c r="I175" s="2" t="str">
        <f>IFERROR(VLOOKUP($D175,'Master Sheet'!$B:$AA,2,FALSE),"")</f>
        <v>JMA110DA</v>
      </c>
      <c r="J175" s="34" t="str">
        <f>IFERROR(VLOOKUP($D175,'Master Sheet'!$B:$AA,5,FALSE),"")</f>
        <v>018208201211</v>
      </c>
      <c r="K175" s="35">
        <f>IFERROR(VLOOKUP($D175,'Master Sheet'!$B:$AA,8,FALSE),"")</f>
        <v>5093.9549999999999</v>
      </c>
      <c r="M175" s="9"/>
    </row>
    <row r="176" spans="1:13" x14ac:dyDescent="0.25">
      <c r="A176" s="10"/>
      <c r="B176" s="31"/>
      <c r="C176" s="31"/>
      <c r="D176" s="32" t="s">
        <v>112</v>
      </c>
      <c r="E176" s="33"/>
      <c r="F176" s="2"/>
      <c r="G176" s="17" t="str">
        <f>IFERROR(VLOOKUP($D176,'Master Sheet'!$B:$AA,3,FALSE),"")</f>
        <v>Nikon NIKKOR Z 50-250MM F4.5-6.3 VR DX  Lens</v>
      </c>
      <c r="H176" s="2"/>
      <c r="I176" s="2" t="str">
        <f>IFERROR(VLOOKUP($D176,'Master Sheet'!$B:$AA,2,FALSE),"")</f>
        <v>JMA707DA</v>
      </c>
      <c r="J176" s="34" t="str">
        <f>IFERROR(VLOOKUP($D176,'Master Sheet'!$B:$AA,5,FALSE),"")</f>
        <v>018208200856</v>
      </c>
      <c r="K176" s="35">
        <f>IFERROR(VLOOKUP($D176,'Master Sheet'!$B:$AA,8,FALSE),"")</f>
        <v>5876.9549999999999</v>
      </c>
      <c r="M176" s="9"/>
    </row>
    <row r="177" spans="1:13" x14ac:dyDescent="0.25">
      <c r="A177" s="10"/>
      <c r="B177" s="31"/>
      <c r="C177" s="31"/>
      <c r="D177" s="32" t="s">
        <v>399</v>
      </c>
      <c r="E177" s="33"/>
      <c r="F177" s="2"/>
      <c r="G177" s="17" t="str">
        <f>IFERROR(VLOOKUP($D177,'Master Sheet'!$B:$AA,3,FALSE),"")</f>
        <v>Nikon NIKKOR Z 50MM F1.2 Z S LENS</v>
      </c>
      <c r="H177" s="2"/>
      <c r="I177" s="2" t="str">
        <f>IFERROR(VLOOKUP($D177,'Master Sheet'!$B:$AA,2,FALSE),"")</f>
        <v>JMA003DA</v>
      </c>
      <c r="J177" s="34" t="str">
        <f>IFERROR(VLOOKUP($D177,'Master Sheet'!$B:$AA,5,FALSE),"")</f>
        <v>018208200955</v>
      </c>
      <c r="K177" s="35">
        <f>IFERROR(VLOOKUP($D177,'Master Sheet'!$B:$AA,8,FALSE),"")</f>
        <v>35216.955000000002</v>
      </c>
      <c r="M177" s="9"/>
    </row>
    <row r="178" spans="1:13" x14ac:dyDescent="0.25">
      <c r="A178" s="10"/>
      <c r="B178" s="31"/>
      <c r="C178" s="31"/>
      <c r="D178" s="32" t="s">
        <v>876</v>
      </c>
      <c r="E178" s="33"/>
      <c r="F178" s="2"/>
      <c r="G178" s="17" t="str">
        <f>IFERROR(VLOOKUP($D178,'Master Sheet'!$B:$AA,3,FALSE),"")</f>
        <v>Nikon NIKKOR Z 50MM F1.4 Z LENS</v>
      </c>
      <c r="H178" s="2"/>
      <c r="I178" s="2" t="str">
        <f>IFERROR(VLOOKUP($D178,'Master Sheet'!$B:$AA,2,FALSE),"")</f>
        <v>JMA004DA</v>
      </c>
      <c r="J178" s="34" t="str">
        <f>IFERROR(VLOOKUP($D178,'Master Sheet'!$B:$AA,5,FALSE),"")</f>
        <v>018208201280</v>
      </c>
      <c r="K178" s="35">
        <f>IFERROR(VLOOKUP($D178,'Master Sheet'!$B:$AA,8,FALSE),"")</f>
        <v>8612.9550000000017</v>
      </c>
      <c r="M178" s="9"/>
    </row>
    <row r="179" spans="1:13" x14ac:dyDescent="0.25">
      <c r="A179" s="10"/>
      <c r="B179" s="31"/>
      <c r="C179" s="31"/>
      <c r="D179" s="32" t="s">
        <v>113</v>
      </c>
      <c r="E179" s="33"/>
      <c r="F179" s="2"/>
      <c r="G179" s="17" t="str">
        <f>IFERROR(VLOOKUP($D179,'Master Sheet'!$B:$AA,3,FALSE),"")</f>
        <v>Nikon NIKKOR Z 50MM F1.8 Z S LENS</v>
      </c>
      <c r="H179" s="2"/>
      <c r="I179" s="2" t="str">
        <f>IFERROR(VLOOKUP($D179,'Master Sheet'!$B:$AA,2,FALSE),"")</f>
        <v>JMA001DA</v>
      </c>
      <c r="J179" s="34" t="str">
        <f>IFERROR(VLOOKUP($D179,'Master Sheet'!$B:$AA,5,FALSE),"")</f>
        <v>018208200832</v>
      </c>
      <c r="K179" s="35">
        <f>IFERROR(VLOOKUP($D179,'Master Sheet'!$B:$AA,8,FALSE),"")</f>
        <v>10723.455000000002</v>
      </c>
      <c r="M179" s="9"/>
    </row>
    <row r="180" spans="1:13" x14ac:dyDescent="0.25">
      <c r="A180" s="10"/>
      <c r="B180" s="31"/>
      <c r="C180" s="31"/>
      <c r="D180" s="32" t="s">
        <v>424</v>
      </c>
      <c r="E180" s="33"/>
      <c r="F180" s="2"/>
      <c r="G180" s="17" t="str">
        <f>IFERROR(VLOOKUP($D180,'Master Sheet'!$B:$AA,3,FALSE),"")</f>
        <v>Nikon NIKKOR Z MC 50mm f/2.8 Macro Lens</v>
      </c>
      <c r="H180" s="2"/>
      <c r="I180" s="2" t="str">
        <f>IFERROR(VLOOKUP($D180,'Master Sheet'!$B:$AA,2,FALSE),"")</f>
        <v>JMA603DA</v>
      </c>
      <c r="J180" s="34" t="str">
        <f>IFERROR(VLOOKUP($D180,'Master Sheet'!$B:$AA,5,FALSE),"")</f>
        <v>018208201037</v>
      </c>
      <c r="K180" s="35">
        <f>IFERROR(VLOOKUP($D180,'Master Sheet'!$B:$AA,8,FALSE),"")</f>
        <v>12131.955000000002</v>
      </c>
      <c r="M180" s="9"/>
    </row>
    <row r="181" spans="1:13" x14ac:dyDescent="0.25">
      <c r="A181" s="10"/>
      <c r="B181" s="31"/>
      <c r="C181" s="31"/>
      <c r="D181" s="32" t="s">
        <v>114</v>
      </c>
      <c r="E181" s="33"/>
      <c r="F181" s="2"/>
      <c r="G181" s="17" t="str">
        <f>IFERROR(VLOOKUP($D181,'Master Sheet'!$B:$AA,3,FALSE),"")</f>
        <v>Nikon NIKKOR Z 58mm f/0.95 S Noct Lens</v>
      </c>
      <c r="H181" s="2"/>
      <c r="I181" s="2" t="str">
        <f>IFERROR(VLOOKUP($D181,'Master Sheet'!$B:$AA,2,FALSE),"")</f>
        <v>JMA002DA</v>
      </c>
      <c r="J181" s="34" t="str">
        <f>IFERROR(VLOOKUP($D181,'Master Sheet'!$B:$AA,5,FALSE),"")</f>
        <v>018208200863</v>
      </c>
      <c r="K181" s="35">
        <f>IFERROR(VLOOKUP($D181,'Master Sheet'!$B:$AA,8,FALSE),"")</f>
        <v>156527.95500000002</v>
      </c>
      <c r="M181" s="9"/>
    </row>
    <row r="182" spans="1:13" x14ac:dyDescent="0.25">
      <c r="A182" s="10"/>
      <c r="B182" s="31"/>
      <c r="C182" s="31"/>
      <c r="D182" s="32" t="s">
        <v>607</v>
      </c>
      <c r="E182" s="33"/>
      <c r="F182" s="2"/>
      <c r="G182" s="17" t="str">
        <f>IFERROR(VLOOKUP($D182,'Master Sheet'!$B:$AA,3,FALSE),"")</f>
        <v>Nikon NIKKOR Z 600mm f/4 TC VR S Lens</v>
      </c>
      <c r="H182" s="2"/>
      <c r="I182" s="2" t="str">
        <f>IFERROR(VLOOKUP($D182,'Master Sheet'!$B:$AA,2,FALSE),"")</f>
        <v>JMA504DA</v>
      </c>
      <c r="J182" s="34" t="str">
        <f>IFERROR(VLOOKUP($D182,'Master Sheet'!$B:$AA,5,FALSE),"")</f>
        <v>018208201136</v>
      </c>
      <c r="K182" s="35">
        <f>IFERROR(VLOOKUP($D182,'Master Sheet'!$B:$AA,8,FALSE),"")</f>
        <v>273914.95500000002</v>
      </c>
      <c r="M182" s="9"/>
    </row>
    <row r="183" spans="1:13" x14ac:dyDescent="0.25">
      <c r="A183" s="10"/>
      <c r="B183" s="31"/>
      <c r="C183" s="31"/>
      <c r="D183" s="32" t="s">
        <v>827</v>
      </c>
      <c r="E183" s="33"/>
      <c r="F183" s="2"/>
      <c r="G183" s="17" t="str">
        <f>IFERROR(VLOOKUP($D183,'Master Sheet'!$B:$AA,3,FALSE),"")</f>
        <v>Nikon NIKKOR Z 600mm f/6.3 VR S Lens</v>
      </c>
      <c r="H183" s="2"/>
      <c r="I183" s="2" t="str">
        <f>IFERROR(VLOOKUP($D183,'Master Sheet'!$B:$AA,2,FALSE),"")</f>
        <v>JMA505DA</v>
      </c>
      <c r="J183" s="34" t="str">
        <f>IFERROR(VLOOKUP($D183,'Master Sheet'!$B:$AA,5,FALSE),"")</f>
        <v>018208201228</v>
      </c>
      <c r="K183" s="35">
        <f>IFERROR(VLOOKUP($D183,'Master Sheet'!$B:$AA,8,FALSE),"")</f>
        <v>93914.955000000002</v>
      </c>
      <c r="M183" s="9"/>
    </row>
    <row r="184" spans="1:13" x14ac:dyDescent="0.25">
      <c r="A184" s="10"/>
      <c r="B184" s="31"/>
      <c r="C184" s="31"/>
      <c r="D184" s="32" t="s">
        <v>705</v>
      </c>
      <c r="E184" s="33"/>
      <c r="F184" s="2"/>
      <c r="G184" s="17" t="str">
        <f>IFERROR(VLOOKUP($D184,'Master Sheet'!$B:$AA,3,FALSE),"")</f>
        <v>Nikon NIKKOR Z 70-180mm f/2.8 Lens</v>
      </c>
      <c r="H184" s="2"/>
      <c r="I184" s="2" t="str">
        <f>IFERROR(VLOOKUP($D184,'Master Sheet'!$B:$AA,2,FALSE),"")</f>
        <v>JMA721DA</v>
      </c>
      <c r="J184" s="34" t="str">
        <f>IFERROR(VLOOKUP($D184,'Master Sheet'!$B:$AA,5,FALSE),"")</f>
        <v>018208201204</v>
      </c>
      <c r="K184" s="35">
        <f>IFERROR(VLOOKUP($D184,'Master Sheet'!$B:$AA,8,FALSE),"")</f>
        <v>22697.955000000002</v>
      </c>
      <c r="M184" s="9"/>
    </row>
    <row r="185" spans="1:13" x14ac:dyDescent="0.25">
      <c r="A185" s="10"/>
      <c r="B185" s="31"/>
      <c r="C185" s="31"/>
      <c r="D185" s="32" t="s">
        <v>115</v>
      </c>
      <c r="E185" s="33"/>
      <c r="F185" s="2"/>
      <c r="G185" s="17" t="str">
        <f>IFERROR(VLOOKUP($D185,'Master Sheet'!$B:$AA,3,FALSE),"")</f>
        <v>Nikon NIKKOR Z 70-200mm f/2.8 VR S Lens</v>
      </c>
      <c r="H185" s="2"/>
      <c r="I185" s="2" t="str">
        <f>IFERROR(VLOOKUP($D185,'Master Sheet'!$B:$AA,2,FALSE),"")</f>
        <v>JMA709DA</v>
      </c>
      <c r="J185" s="34" t="str">
        <f>IFERROR(VLOOKUP($D185,'Master Sheet'!$B:$AA,5,FALSE),"")</f>
        <v>018208200917</v>
      </c>
      <c r="K185" s="35">
        <f>IFERROR(VLOOKUP($D185,'Master Sheet'!$B:$AA,8,FALSE),"")</f>
        <v>44612.955000000002</v>
      </c>
      <c r="M185" s="9"/>
    </row>
    <row r="186" spans="1:13" x14ac:dyDescent="0.25">
      <c r="A186" s="10"/>
      <c r="B186" s="31"/>
      <c r="C186" s="31"/>
      <c r="D186" s="32" t="s">
        <v>504</v>
      </c>
      <c r="E186" s="33"/>
      <c r="F186" s="2"/>
      <c r="G186" s="17" t="str">
        <f>IFERROR(VLOOKUP($D186,'Master Sheet'!$B:$AA,3,FALSE),"")</f>
        <v>Nikon NIKKOR Z 800mm f/6.3 VR S Lens</v>
      </c>
      <c r="H186" s="2"/>
      <c r="I186" s="2" t="str">
        <f>IFERROR(VLOOKUP($D186,'Master Sheet'!$B:$AA,2,FALSE),"")</f>
        <v>JMA502DA</v>
      </c>
      <c r="J186" s="34" t="str">
        <f>IFERROR(VLOOKUP($D186,'Master Sheet'!$B:$AA,5,FALSE),"")</f>
        <v>018208201082</v>
      </c>
      <c r="K186" s="35">
        <f>IFERROR(VLOOKUP($D186,'Master Sheet'!$B:$AA,8,FALSE),"")</f>
        <v>117395.955</v>
      </c>
      <c r="M186" s="9"/>
    </row>
    <row r="187" spans="1:13" x14ac:dyDescent="0.25">
      <c r="A187" s="10"/>
      <c r="B187" s="31"/>
      <c r="C187" s="31"/>
      <c r="D187" s="32" t="s">
        <v>627</v>
      </c>
      <c r="E187" s="33"/>
      <c r="F187" s="2"/>
      <c r="G187" s="17" t="str">
        <f>IFERROR(VLOOKUP($D187,'Master Sheet'!$B:$AA,3,FALSE),"")</f>
        <v xml:space="preserve">Nikon NIKKOR Z 85mm f/1.2 S Lens </v>
      </c>
      <c r="H187" s="2"/>
      <c r="I187" s="2" t="str">
        <f>IFERROR(VLOOKUP($D187,'Master Sheet'!$B:$AA,2,FALSE),"")</f>
        <v>JMA302DA</v>
      </c>
      <c r="J187" s="34" t="str">
        <f>IFERROR(VLOOKUP($D187,'Master Sheet'!$B:$AA,5,FALSE),"")</f>
        <v>018208201143</v>
      </c>
      <c r="K187" s="35">
        <f>IFERROR(VLOOKUP($D187,'Master Sheet'!$B:$AA,8,FALSE),"")</f>
        <v>49310.955000000002</v>
      </c>
      <c r="M187" s="9"/>
    </row>
    <row r="188" spans="1:13" x14ac:dyDescent="0.25">
      <c r="A188" s="10"/>
      <c r="B188" s="31"/>
      <c r="C188" s="31"/>
      <c r="D188" s="32" t="s">
        <v>116</v>
      </c>
      <c r="E188" s="33"/>
      <c r="F188" s="2"/>
      <c r="G188" s="17" t="str">
        <f>IFERROR(VLOOKUP($D188,'Master Sheet'!$B:$AA,3,FALSE),"")</f>
        <v>Nikon NIKKOR Z 85mm f/1.8 S Lens</v>
      </c>
      <c r="H188" s="2"/>
      <c r="I188" s="2" t="str">
        <f>IFERROR(VLOOKUP($D188,'Master Sheet'!$B:$AA,2,FALSE),"")</f>
        <v>JMA301DA</v>
      </c>
      <c r="J188" s="34" t="str">
        <f>IFERROR(VLOOKUP($D188,'Master Sheet'!$B:$AA,5,FALSE),"")</f>
        <v>018208200900</v>
      </c>
      <c r="K188" s="35">
        <f>IFERROR(VLOOKUP($D188,'Master Sheet'!$B:$AA,8,FALSE),"")</f>
        <v>14867.955000000002</v>
      </c>
      <c r="M188" s="9"/>
    </row>
    <row r="189" spans="1:13" x14ac:dyDescent="0.25">
      <c r="A189" s="10"/>
      <c r="B189" s="31"/>
      <c r="C189" s="31"/>
      <c r="D189" s="32" t="s">
        <v>370</v>
      </c>
      <c r="E189" s="33"/>
      <c r="F189" s="2"/>
      <c r="G189" s="17" t="str">
        <f>IFERROR(VLOOKUP($D189,'Master Sheet'!$B:$AA,3,FALSE),"")</f>
        <v>Nikon NIKKOR Z 1.4x Tele Converter</v>
      </c>
      <c r="H189" s="2"/>
      <c r="I189" s="2" t="str">
        <f>IFERROR(VLOOKUP($D189,'Master Sheet'!$B:$AA,2,FALSE),"")</f>
        <v>JMA903DA</v>
      </c>
      <c r="J189" s="34" t="str">
        <f>IFERROR(VLOOKUP($D189,'Master Sheet'!$B:$AA,5,FALSE),"")</f>
        <v>018208200986</v>
      </c>
      <c r="K189" s="35">
        <f>IFERROR(VLOOKUP($D189,'Master Sheet'!$B:$AA,8,FALSE),"")</f>
        <v>10961.955000000002</v>
      </c>
      <c r="M189" s="9"/>
    </row>
    <row r="190" spans="1:13" x14ac:dyDescent="0.25">
      <c r="A190" s="10"/>
      <c r="B190" s="31"/>
      <c r="C190" s="31"/>
      <c r="D190" s="32" t="s">
        <v>371</v>
      </c>
      <c r="E190" s="33"/>
      <c r="F190" s="2"/>
      <c r="G190" s="17" t="str">
        <f>IFERROR(VLOOKUP($D190,'Master Sheet'!$B:$AA,3,FALSE),"")</f>
        <v>Nikon NIKKOR Z 2.0x Tele Converter</v>
      </c>
      <c r="H190" s="2"/>
      <c r="I190" s="2" t="str">
        <f>IFERROR(VLOOKUP($D190,'Master Sheet'!$B:$AA,2,FALSE),"")</f>
        <v>JMA904DA</v>
      </c>
      <c r="J190" s="34" t="str">
        <f>IFERROR(VLOOKUP($D190,'Master Sheet'!$B:$AA,5,FALSE),"")</f>
        <v>018208200993</v>
      </c>
      <c r="K190" s="35">
        <f>IFERROR(VLOOKUP($D190,'Master Sheet'!$B:$AA,8,FALSE),"")</f>
        <v>11744.955000000002</v>
      </c>
      <c r="M190" s="9"/>
    </row>
    <row r="191" spans="1:13" x14ac:dyDescent="0.25">
      <c r="A191" s="10"/>
      <c r="B191" s="31"/>
      <c r="C191" s="31"/>
      <c r="D191" s="32"/>
      <c r="E191" s="33"/>
      <c r="F191" s="2"/>
      <c r="G191" s="2" t="str">
        <f>IFERROR(VLOOKUP($D191,'Master Sheet'!$B:$AA,3,FALSE),"")</f>
        <v/>
      </c>
      <c r="H191" s="2"/>
      <c r="I191" s="2" t="str">
        <f>IFERROR(VLOOKUP($D191,'Master Sheet'!$B:$AA,2,FALSE),"")</f>
        <v/>
      </c>
      <c r="J191" s="34" t="str">
        <f>IFERROR(VLOOKUP($D191,'Master Sheet'!$B:$AA,5,FALSE),"")</f>
        <v/>
      </c>
      <c r="K191" s="35" t="str">
        <f>IFERROR(VLOOKUP($D191,'Master Sheet'!$B:$AA,8,FALSE),"")</f>
        <v/>
      </c>
      <c r="M191" s="9"/>
    </row>
    <row r="192" spans="1:13" x14ac:dyDescent="0.25">
      <c r="A192" s="10"/>
      <c r="B192" s="31"/>
      <c r="C192" s="31"/>
      <c r="D192" s="32"/>
      <c r="E192" s="33"/>
      <c r="F192" s="2"/>
      <c r="G192" s="2" t="str">
        <f>IFERROR(VLOOKUP($D192,'Master Sheet'!$B:$AA,3,FALSE),"")</f>
        <v/>
      </c>
      <c r="H192" s="2"/>
      <c r="I192" s="2" t="str">
        <f>IFERROR(VLOOKUP($D192,'Master Sheet'!$B:$AA,2,FALSE),"")</f>
        <v/>
      </c>
      <c r="J192" s="34" t="str">
        <f>IFERROR(VLOOKUP($D192,'Master Sheet'!$B:$AA,5,FALSE),"")</f>
        <v/>
      </c>
      <c r="K192" s="35" t="str">
        <f>IFERROR(VLOOKUP($D192,'Master Sheet'!$B:$AA,8,FALSE),"")</f>
        <v/>
      </c>
      <c r="M192" s="9"/>
    </row>
    <row r="193" spans="1:1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8" spans="1:13" x14ac:dyDescent="0.2">
      <c r="D198" s="1"/>
    </row>
  </sheetData>
  <sortState xmlns:xlrd2="http://schemas.microsoft.com/office/spreadsheetml/2017/richdata2" ref="D24:D190">
    <sortCondition ref="D190"/>
  </sortState>
  <mergeCells count="1">
    <mergeCell ref="G20:K20"/>
  </mergeCells>
  <pageMargins left="0.7" right="0.7" top="0.75" bottom="0.75" header="0.3" footer="0.3"/>
  <pageSetup paperSize="9" scale="56" orientation="portrait" r:id="rId1"/>
  <rowBreaks count="3" manualBreakCount="3">
    <brk id="70" max="12" man="1"/>
    <brk id="242" max="12" man="1"/>
    <brk id="341" max="12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99DD-BFFA-4A49-AFC1-33C57C0E143F}">
  <dimension ref="A1:M52"/>
  <sheetViews>
    <sheetView showGridLines="0" showRowColHeaders="0" zoomScale="85" zoomScaleNormal="85" workbookViewId="0">
      <selection activeCell="K22" sqref="K22"/>
    </sheetView>
  </sheetViews>
  <sheetFormatPr defaultColWidth="8.85546875" defaultRowHeight="12.75" x14ac:dyDescent="0.25"/>
  <cols>
    <col min="1" max="3" width="3.42578125" style="5" customWidth="1"/>
    <col min="4" max="4" width="16.85546875" style="17" customWidth="1"/>
    <col min="5" max="6" width="3.42578125" style="5" customWidth="1"/>
    <col min="7" max="7" width="41.5703125" style="17" customWidth="1"/>
    <col min="8" max="8" width="3.42578125" style="5" customWidth="1"/>
    <col min="9" max="10" width="14.5703125" style="2" customWidth="1"/>
    <col min="11" max="11" width="14.5703125" style="15" customWidth="1"/>
    <col min="12" max="13" width="3.42578125" style="5" customWidth="1"/>
    <col min="14" max="16384" width="8.85546875" style="5"/>
  </cols>
  <sheetData>
    <row r="1" spans="1:13" x14ac:dyDescent="0.25">
      <c r="A1" s="11"/>
      <c r="B1" s="11"/>
      <c r="C1" s="11"/>
      <c r="D1" s="20"/>
      <c r="E1" s="11"/>
      <c r="F1" s="11"/>
      <c r="G1" s="21"/>
      <c r="H1" s="11"/>
      <c r="I1" s="4"/>
      <c r="J1" s="29"/>
      <c r="K1" s="30"/>
      <c r="L1" s="7"/>
      <c r="M1" s="7"/>
    </row>
    <row r="2" spans="1:13" x14ac:dyDescent="0.25">
      <c r="A2" s="10"/>
      <c r="B2" s="31"/>
      <c r="C2" s="31"/>
      <c r="D2" s="53"/>
      <c r="E2" s="33"/>
      <c r="F2" s="8"/>
      <c r="G2" s="22"/>
      <c r="H2" s="8"/>
      <c r="J2" s="34"/>
      <c r="K2" s="35"/>
      <c r="M2" s="7"/>
    </row>
    <row r="3" spans="1:13" x14ac:dyDescent="0.25">
      <c r="A3" s="10"/>
      <c r="B3" s="31"/>
      <c r="C3" s="31"/>
      <c r="D3" s="53"/>
      <c r="E3" s="33"/>
      <c r="F3" s="8"/>
      <c r="G3" s="22"/>
      <c r="H3" s="8"/>
      <c r="J3" s="34"/>
      <c r="K3" s="35"/>
      <c r="M3" s="7"/>
    </row>
    <row r="4" spans="1:13" x14ac:dyDescent="0.25">
      <c r="A4" s="10"/>
      <c r="B4" s="31"/>
      <c r="C4" s="31"/>
      <c r="D4" s="53"/>
      <c r="E4" s="33"/>
      <c r="F4" s="8"/>
      <c r="G4" s="22"/>
      <c r="H4" s="8"/>
      <c r="J4" s="34"/>
      <c r="K4" s="35"/>
      <c r="M4" s="7"/>
    </row>
    <row r="5" spans="1:13" x14ac:dyDescent="0.25">
      <c r="A5" s="10"/>
      <c r="B5" s="31"/>
      <c r="C5" s="31"/>
      <c r="D5" s="53"/>
      <c r="E5" s="33"/>
      <c r="F5" s="8"/>
      <c r="G5" s="22"/>
      <c r="H5" s="8"/>
      <c r="J5" s="34"/>
      <c r="K5" s="35"/>
      <c r="M5" s="7"/>
    </row>
    <row r="6" spans="1:13" x14ac:dyDescent="0.25">
      <c r="A6" s="10"/>
      <c r="B6" s="31"/>
      <c r="C6" s="31"/>
      <c r="D6" s="53"/>
      <c r="E6" s="33"/>
      <c r="F6" s="8"/>
      <c r="G6" s="22"/>
      <c r="H6" s="8"/>
      <c r="J6" s="34"/>
      <c r="K6" s="35"/>
      <c r="M6" s="7"/>
    </row>
    <row r="7" spans="1:13" x14ac:dyDescent="0.25">
      <c r="A7" s="10"/>
      <c r="B7" s="31"/>
      <c r="C7" s="31"/>
      <c r="D7" s="53"/>
      <c r="E7" s="33"/>
      <c r="F7" s="8"/>
      <c r="G7" s="22"/>
      <c r="H7" s="8"/>
      <c r="J7" s="34"/>
      <c r="K7" s="35"/>
      <c r="M7" s="7"/>
    </row>
    <row r="8" spans="1:13" x14ac:dyDescent="0.25">
      <c r="A8" s="10"/>
      <c r="B8" s="31"/>
      <c r="C8" s="31"/>
      <c r="D8" s="53"/>
      <c r="E8" s="33"/>
      <c r="F8" s="8"/>
      <c r="G8" s="22"/>
      <c r="H8" s="8"/>
      <c r="J8" s="34"/>
      <c r="K8" s="35"/>
      <c r="M8" s="7"/>
    </row>
    <row r="9" spans="1:13" x14ac:dyDescent="0.25">
      <c r="A9" s="10"/>
      <c r="B9" s="31"/>
      <c r="C9" s="31"/>
      <c r="D9" s="53"/>
      <c r="E9" s="33"/>
      <c r="F9" s="8"/>
      <c r="G9" s="22"/>
      <c r="H9" s="8"/>
      <c r="J9" s="34"/>
      <c r="K9" s="35"/>
      <c r="M9" s="7"/>
    </row>
    <row r="10" spans="1:13" x14ac:dyDescent="0.25">
      <c r="A10" s="10"/>
      <c r="B10" s="31"/>
      <c r="C10" s="31"/>
      <c r="D10" s="53"/>
      <c r="E10" s="33"/>
      <c r="F10" s="8"/>
      <c r="G10" s="22"/>
      <c r="H10" s="8"/>
      <c r="J10" s="34"/>
      <c r="K10" s="35"/>
      <c r="M10" s="7"/>
    </row>
    <row r="11" spans="1:13" x14ac:dyDescent="0.25">
      <c r="A11" s="10"/>
      <c r="B11" s="31"/>
      <c r="C11" s="31"/>
      <c r="D11" s="53"/>
      <c r="E11" s="33"/>
      <c r="F11" s="8"/>
      <c r="G11" s="22"/>
      <c r="H11" s="8"/>
      <c r="J11" s="34"/>
      <c r="K11" s="35"/>
      <c r="M11" s="9"/>
    </row>
    <row r="12" spans="1:13" x14ac:dyDescent="0.25">
      <c r="A12" s="10"/>
      <c r="B12" s="31"/>
      <c r="C12" s="31"/>
      <c r="D12" s="53"/>
      <c r="E12" s="33"/>
      <c r="F12" s="8"/>
      <c r="G12" s="22"/>
      <c r="H12" s="8"/>
      <c r="J12" s="34"/>
      <c r="K12" s="35"/>
      <c r="M12" s="9"/>
    </row>
    <row r="13" spans="1:13" x14ac:dyDescent="0.25">
      <c r="A13" s="10"/>
      <c r="B13" s="31"/>
      <c r="C13" s="31"/>
      <c r="D13" s="53"/>
      <c r="E13" s="33"/>
      <c r="F13" s="8"/>
      <c r="G13" s="22"/>
      <c r="H13" s="8"/>
      <c r="J13" s="34"/>
      <c r="K13" s="35"/>
      <c r="M13" s="9"/>
    </row>
    <row r="14" spans="1:13" x14ac:dyDescent="0.25">
      <c r="A14" s="10"/>
      <c r="B14" s="31"/>
      <c r="C14" s="31"/>
      <c r="D14" s="53"/>
      <c r="E14" s="33"/>
      <c r="F14" s="8"/>
      <c r="G14" s="22"/>
      <c r="H14" s="8"/>
      <c r="J14" s="34"/>
      <c r="K14" s="35"/>
      <c r="M14" s="9"/>
    </row>
    <row r="15" spans="1:13" x14ac:dyDescent="0.25">
      <c r="A15" s="10"/>
      <c r="B15" s="31"/>
      <c r="C15" s="31"/>
      <c r="D15" s="53"/>
      <c r="E15" s="33"/>
      <c r="F15" s="8"/>
      <c r="G15" s="22"/>
      <c r="H15" s="8"/>
      <c r="J15" s="34"/>
      <c r="K15" s="35"/>
      <c r="M15" s="9"/>
    </row>
    <row r="16" spans="1:13" x14ac:dyDescent="0.25">
      <c r="A16" s="10"/>
      <c r="B16" s="31"/>
      <c r="C16" s="31"/>
      <c r="D16" s="53"/>
      <c r="E16" s="33"/>
      <c r="F16" s="8"/>
      <c r="G16" s="22"/>
      <c r="H16" s="8"/>
      <c r="J16" s="34"/>
      <c r="K16" s="35"/>
      <c r="M16" s="9"/>
    </row>
    <row r="17" spans="1:13" x14ac:dyDescent="0.25">
      <c r="A17" s="10"/>
      <c r="B17" s="31"/>
      <c r="C17" s="31"/>
      <c r="D17" s="53"/>
      <c r="E17" s="33"/>
      <c r="F17" s="8"/>
      <c r="G17" s="22"/>
      <c r="H17" s="8"/>
      <c r="J17" s="34"/>
      <c r="K17" s="35"/>
      <c r="M17" s="9"/>
    </row>
    <row r="18" spans="1:13" x14ac:dyDescent="0.25">
      <c r="A18" s="10"/>
      <c r="B18" s="31"/>
      <c r="C18" s="31"/>
      <c r="D18" s="53"/>
      <c r="E18" s="33"/>
      <c r="F18" s="8"/>
      <c r="G18" s="22"/>
      <c r="H18" s="8"/>
      <c r="J18" s="34"/>
      <c r="K18" s="35"/>
      <c r="M18" s="9"/>
    </row>
    <row r="19" spans="1:13" ht="13.5" thickBot="1" x14ac:dyDescent="0.3">
      <c r="A19" s="10"/>
      <c r="B19" s="31"/>
      <c r="C19" s="31"/>
      <c r="D19" s="53"/>
      <c r="E19" s="33"/>
      <c r="F19" s="8"/>
      <c r="G19" s="22"/>
      <c r="H19" s="8"/>
      <c r="J19" s="34"/>
      <c r="K19" s="35"/>
      <c r="M19" s="9"/>
    </row>
    <row r="20" spans="1:13" ht="13.5" thickBot="1" x14ac:dyDescent="0.3">
      <c r="A20" s="10"/>
      <c r="B20" s="31"/>
      <c r="C20" s="31"/>
      <c r="D20" s="37"/>
      <c r="E20" s="36"/>
      <c r="F20" s="8"/>
      <c r="G20" s="90" t="s">
        <v>732</v>
      </c>
      <c r="H20" s="91"/>
      <c r="I20" s="91"/>
      <c r="J20" s="91"/>
      <c r="K20" s="92"/>
      <c r="M20" s="9"/>
    </row>
    <row r="21" spans="1:13" ht="13.5" thickBot="1" x14ac:dyDescent="0.3">
      <c r="A21" s="10"/>
      <c r="B21" s="31"/>
      <c r="C21" s="31"/>
      <c r="D21" s="59"/>
      <c r="E21" s="36"/>
      <c r="F21" s="8"/>
      <c r="G21" s="22"/>
      <c r="H21" s="8"/>
      <c r="J21" s="34"/>
      <c r="K21" s="35"/>
      <c r="M21" s="9"/>
    </row>
    <row r="22" spans="1:13" ht="13.5" thickBot="1" x14ac:dyDescent="0.3">
      <c r="A22" s="10"/>
      <c r="B22" s="31"/>
      <c r="C22" s="39" t="s">
        <v>48</v>
      </c>
      <c r="D22" s="60"/>
      <c r="E22" s="40"/>
      <c r="F22" s="55"/>
      <c r="G22" s="41" t="s">
        <v>643</v>
      </c>
      <c r="H22" s="55"/>
      <c r="I22" s="42" t="s">
        <v>52</v>
      </c>
      <c r="J22" s="43" t="s">
        <v>47</v>
      </c>
      <c r="K22" s="56" t="s">
        <v>943</v>
      </c>
      <c r="M22" s="9"/>
    </row>
    <row r="23" spans="1:13" x14ac:dyDescent="0.25">
      <c r="A23" s="10"/>
      <c r="B23" s="31"/>
      <c r="C23" s="31"/>
      <c r="D23" s="53"/>
      <c r="E23" s="33"/>
      <c r="F23" s="2"/>
      <c r="H23" s="2"/>
      <c r="J23" s="34"/>
      <c r="K23" s="35"/>
      <c r="M23" s="9"/>
    </row>
    <row r="24" spans="1:13" x14ac:dyDescent="0.25">
      <c r="A24" s="10"/>
      <c r="B24" s="31"/>
      <c r="C24" s="31"/>
      <c r="D24" s="53" t="s">
        <v>719</v>
      </c>
      <c r="E24" s="54"/>
      <c r="F24" s="17"/>
      <c r="G24" s="17" t="str">
        <f>IFERROR(VLOOKUP($D24,'Master Sheet'!$B:$AA,3,FALSE),"")</f>
        <v>CML-L3 CASE FOR ML-L3</v>
      </c>
      <c r="H24" s="17"/>
      <c r="I24" s="17">
        <f>IFERROR(VLOOKUP($D24,'Master Sheet'!$B:$AA,2,FALSE),"")</f>
        <v>0</v>
      </c>
      <c r="J24" s="44" t="str">
        <f>IFERROR(VLOOKUP($D24,'Master Sheet'!$B:$AA,5,FALSE),"")</f>
        <v>018208047321</v>
      </c>
      <c r="K24" s="45">
        <f>IFERROR(VLOOKUP($D24,'Master Sheet'!$B:$AA,8,FALSE),"")</f>
        <v>40.455000000000005</v>
      </c>
      <c r="M24" s="9"/>
    </row>
    <row r="25" spans="1:13" x14ac:dyDescent="0.25">
      <c r="A25" s="10"/>
      <c r="B25" s="31"/>
      <c r="C25" s="31"/>
      <c r="D25" s="53" t="s">
        <v>264</v>
      </c>
      <c r="E25" s="54"/>
      <c r="F25" s="17"/>
      <c r="G25" s="17" t="str">
        <f>IFERROR(VLOOKUP($D25,'Master Sheet'!$B:$AA,3,FALSE),"")</f>
        <v>EH-6C AC Adapter</v>
      </c>
      <c r="H25" s="17"/>
      <c r="I25" s="17" t="str">
        <f>IFERROR(VLOOKUP($D25,'Master Sheet'!$B:$AA,2,FALSE),"")</f>
        <v>VEB028EA</v>
      </c>
      <c r="J25" s="44" t="str">
        <f>IFERROR(VLOOKUP($D25,'Master Sheet'!$B:$AA,5,FALSE),"")</f>
        <v>018208953028</v>
      </c>
      <c r="K25" s="45">
        <f>IFERROR(VLOOKUP($D25,'Master Sheet'!$B:$AA,8,FALSE),"")</f>
        <v>6740.9549999999999</v>
      </c>
      <c r="M25" s="9"/>
    </row>
    <row r="26" spans="1:13" x14ac:dyDescent="0.25">
      <c r="A26" s="10"/>
      <c r="B26" s="31"/>
      <c r="C26" s="31"/>
      <c r="D26" s="53" t="s">
        <v>720</v>
      </c>
      <c r="E26" s="54"/>
      <c r="F26" s="17"/>
      <c r="G26" s="17" t="str">
        <f>IFERROR(VLOOKUP($D26,'Master Sheet'!$B:$AA,3,FALSE),"")</f>
        <v>EN-4 RECHARGEABLE LI-ION BATTERY</v>
      </c>
      <c r="H26" s="17"/>
      <c r="I26" s="17">
        <f>IFERROR(VLOOKUP($D26,'Master Sheet'!$B:$AA,2,FALSE),"")</f>
        <v>0</v>
      </c>
      <c r="J26" s="44" t="str">
        <f>IFERROR(VLOOKUP($D26,'Master Sheet'!$B:$AA,5,FALSE),"")</f>
        <v>018208252404</v>
      </c>
      <c r="K26" s="45">
        <f>IFERROR(VLOOKUP($D26,'Master Sheet'!$B:$AA,8,FALSE),"")</f>
        <v>1772.9550000000002</v>
      </c>
      <c r="M26" s="9"/>
    </row>
    <row r="27" spans="1:13" x14ac:dyDescent="0.25">
      <c r="A27" s="10"/>
      <c r="B27" s="31"/>
      <c r="C27" s="31"/>
      <c r="D27" s="53" t="s">
        <v>721</v>
      </c>
      <c r="E27" s="54"/>
      <c r="F27" s="17"/>
      <c r="G27" s="17" t="str">
        <f>IFERROR(VLOOKUP($D27,'Master Sheet'!$B:$AA,3,FALSE),"")</f>
        <v>EN-EL11 RECHARGEABLE LI-ION BATTERY</v>
      </c>
      <c r="H27" s="17"/>
      <c r="I27" s="17">
        <f>IFERROR(VLOOKUP($D27,'Master Sheet'!$B:$AA,2,FALSE),"")</f>
        <v>0</v>
      </c>
      <c r="J27" s="44" t="str">
        <f>IFERROR(VLOOKUP($D27,'Master Sheet'!$B:$AA,5,FALSE),"")</f>
        <v>018208257751</v>
      </c>
      <c r="K27" s="45">
        <f>IFERROR(VLOOKUP($D27,'Master Sheet'!$B:$AA,8,FALSE),"")</f>
        <v>476.95500000000004</v>
      </c>
      <c r="M27" s="9"/>
    </row>
    <row r="28" spans="1:13" x14ac:dyDescent="0.25">
      <c r="A28" s="10"/>
      <c r="B28" s="31"/>
      <c r="C28" s="31"/>
      <c r="D28" s="53" t="s">
        <v>722</v>
      </c>
      <c r="E28" s="54"/>
      <c r="F28" s="17"/>
      <c r="G28" s="17" t="str">
        <f>IFERROR(VLOOKUP($D28,'Master Sheet'!$B:$AA,3,FALSE),"")</f>
        <v>EN-EL14A RECHARGEABLE LI-ION BATTERY</v>
      </c>
      <c r="H28" s="17"/>
      <c r="I28" s="17" t="str">
        <f>IFERROR(VLOOKUP($D28,'Master Sheet'!$B:$AA,2,FALSE),"")</f>
        <v>VFB11411</v>
      </c>
      <c r="J28" s="44" t="str">
        <f>IFERROR(VLOOKUP($D28,'Master Sheet'!$B:$AA,5,FALSE),"")</f>
        <v>018208271269</v>
      </c>
      <c r="K28" s="45">
        <f>IFERROR(VLOOKUP($D28,'Master Sheet'!$B:$AA,8,FALSE),"")</f>
        <v>1025.9550000000002</v>
      </c>
      <c r="M28" s="9"/>
    </row>
    <row r="29" spans="1:13" x14ac:dyDescent="0.25">
      <c r="A29" s="10"/>
      <c r="B29" s="31"/>
      <c r="C29" s="31"/>
      <c r="D29" s="53" t="s">
        <v>39</v>
      </c>
      <c r="E29" s="54"/>
      <c r="F29" s="17"/>
      <c r="G29" s="17" t="str">
        <f>IFERROR(VLOOKUP($D29,'Master Sheet'!$B:$AA,3,FALSE),"")</f>
        <v>EN-EL18C RECHARGEABLE LI-ION BATTERY</v>
      </c>
      <c r="H29" s="17"/>
      <c r="I29" s="17"/>
      <c r="J29" s="44" t="str">
        <f>IFERROR(VLOOKUP($D29,'Master Sheet'!$B:$AA,5,FALSE),"")</f>
        <v>018208957880</v>
      </c>
      <c r="K29" s="45">
        <f>IFERROR(VLOOKUP($D29,'Master Sheet'!$B:$AA,8,FALSE),"")</f>
        <v>3347.9549999999999</v>
      </c>
      <c r="M29" s="9"/>
    </row>
    <row r="30" spans="1:13" x14ac:dyDescent="0.25">
      <c r="A30" s="10"/>
      <c r="B30" s="31"/>
      <c r="C30" s="31"/>
      <c r="D30" s="53" t="s">
        <v>723</v>
      </c>
      <c r="E30" s="54"/>
      <c r="F30" s="17"/>
      <c r="G30" s="17" t="str">
        <f>IFERROR(VLOOKUP($D30,'Master Sheet'!$B:$AA,3,FALSE),"")</f>
        <v>EN-EL21 RECHARGEABLE LI-ION BATTERY</v>
      </c>
      <c r="H30" s="17"/>
      <c r="I30" s="17">
        <f>IFERROR(VLOOKUP($D30,'Master Sheet'!$B:$AA,2,FALSE),"")</f>
        <v>0</v>
      </c>
      <c r="J30" s="44" t="str">
        <f>IFERROR(VLOOKUP($D30,'Master Sheet'!$B:$AA,5,FALSE),"")</f>
        <v>018208037247</v>
      </c>
      <c r="K30" s="45">
        <f>IFERROR(VLOOKUP($D30,'Master Sheet'!$B:$AA,8,FALSE),"")</f>
        <v>1115.9550000000002</v>
      </c>
      <c r="M30" s="9"/>
    </row>
    <row r="31" spans="1:13" x14ac:dyDescent="0.25">
      <c r="A31" s="10"/>
      <c r="B31" s="31"/>
      <c r="C31" s="31"/>
      <c r="D31" s="53" t="s">
        <v>724</v>
      </c>
      <c r="E31" s="54"/>
      <c r="F31" s="17"/>
      <c r="G31" s="17" t="str">
        <f>IFERROR(VLOOKUP($D31,'Master Sheet'!$B:$AA,3,FALSE),"")</f>
        <v>EN-EL8 RECHARGEABLE LI-ION BATTERY</v>
      </c>
      <c r="H31" s="17"/>
      <c r="I31" s="17">
        <f>IFERROR(VLOOKUP($D31,'Master Sheet'!$B:$AA,2,FALSE),"")</f>
        <v>0</v>
      </c>
      <c r="J31" s="44" t="str">
        <f>IFERROR(VLOOKUP($D31,'Master Sheet'!$B:$AA,5,FALSE),"")</f>
        <v>018208256884</v>
      </c>
      <c r="K31" s="45">
        <f>IFERROR(VLOOKUP($D31,'Master Sheet'!$B:$AA,8,FALSE),"")</f>
        <v>512.95500000000004</v>
      </c>
      <c r="M31" s="9"/>
    </row>
    <row r="32" spans="1:13" ht="25.5" x14ac:dyDescent="0.25">
      <c r="A32" s="10"/>
      <c r="B32" s="31"/>
      <c r="C32" s="31"/>
      <c r="D32" s="53" t="s">
        <v>43</v>
      </c>
      <c r="E32" s="54"/>
      <c r="F32" s="17"/>
      <c r="G32" s="17" t="str">
        <f>IFERROR(VLOOKUP($D32,'Master Sheet'!$B:$AA,3,FALSE),"")</f>
        <v>EP-5A Power Connector (for EN-EL14a battery cameras)</v>
      </c>
      <c r="H32" s="17"/>
      <c r="I32" s="17" t="str">
        <f>IFERROR(VLOOKUP($D32,'Master Sheet'!$B:$AA,2,FALSE),"")</f>
        <v>VEB00801</v>
      </c>
      <c r="J32" s="44" t="str">
        <f>IFERROR(VLOOKUP($D32,'Master Sheet'!$B:$AA,5,FALSE),"")</f>
        <v>018208270187</v>
      </c>
      <c r="K32" s="45">
        <f>IFERROR(VLOOKUP($D32,'Master Sheet'!$B:$AA,8,FALSE),"")</f>
        <v>692.95500000000004</v>
      </c>
      <c r="M32" s="9"/>
    </row>
    <row r="33" spans="1:13" x14ac:dyDescent="0.25">
      <c r="A33" s="10"/>
      <c r="B33" s="31"/>
      <c r="C33" s="31"/>
      <c r="D33" s="53" t="s">
        <v>46</v>
      </c>
      <c r="E33" s="54"/>
      <c r="F33" s="17"/>
      <c r="G33" s="17" t="str">
        <f>IFERROR(VLOOKUP($D33,'Master Sheet'!$B:$AA,3,FALSE),"")</f>
        <v>GP-1A GPS MODULE DSLR</v>
      </c>
      <c r="H33" s="17"/>
      <c r="I33" s="17" t="str">
        <f>IFERROR(VLOOKUP($D33,'Master Sheet'!$B:$AA,2,FALSE),"")</f>
        <v>VWD102BW</v>
      </c>
      <c r="J33" s="44" t="str">
        <f>IFERROR(VLOOKUP($D33,'Master Sheet'!$B:$AA,5,FALSE),"")</f>
        <v>018208270347</v>
      </c>
      <c r="K33" s="45">
        <f>IFERROR(VLOOKUP($D33,'Master Sheet'!$B:$AA,8,FALSE),"")</f>
        <v>5615.9549999999999</v>
      </c>
      <c r="M33" s="9"/>
    </row>
    <row r="34" spans="1:13" x14ac:dyDescent="0.25">
      <c r="A34" s="10"/>
      <c r="B34" s="31"/>
      <c r="C34" s="31"/>
      <c r="D34" s="53" t="s">
        <v>845</v>
      </c>
      <c r="E34" s="54"/>
      <c r="F34" s="17"/>
      <c r="G34" s="17" t="str">
        <f>IFERROR(VLOOKUP($D34,'Master Sheet'!$B:$AA,3,FALSE),"")</f>
        <v>HB-23 LENS HOOD</v>
      </c>
      <c r="H34" s="17"/>
      <c r="I34" s="17" t="str">
        <f>IFERROR(VLOOKUP($D34,'Master Sheet'!$B:$AA,2,FALSE),"")</f>
        <v>JAB72301</v>
      </c>
      <c r="J34" s="44" t="str">
        <f>IFERROR(VLOOKUP($D34,'Master Sheet'!$B:$AA,5,FALSE),"")</f>
        <v>018208046928</v>
      </c>
      <c r="K34" s="45">
        <f>IFERROR(VLOOKUP($D34,'Master Sheet'!$B:$AA,8,FALSE),"")</f>
        <v>269.95499999999998</v>
      </c>
      <c r="M34" s="9"/>
    </row>
    <row r="35" spans="1:13" x14ac:dyDescent="0.25">
      <c r="A35" s="10"/>
      <c r="B35" s="31"/>
      <c r="C35" s="31"/>
      <c r="D35" s="53" t="s">
        <v>725</v>
      </c>
      <c r="E35" s="54"/>
      <c r="F35" s="17"/>
      <c r="G35" s="17" t="str">
        <f>IFERROR(VLOOKUP($D35,'Master Sheet'!$B:$AA,3,FALSE),"")</f>
        <v>MB-D10  BATTERY PACK</v>
      </c>
      <c r="H35" s="17"/>
      <c r="I35" s="17" t="str">
        <f>IFERROR(VLOOKUP($D35,'Master Sheet'!$B:$AA,2,FALSE),"")</f>
        <v>VAK16801</v>
      </c>
      <c r="J35" s="44" t="str">
        <f>IFERROR(VLOOKUP($D35,'Master Sheet'!$B:$AA,5,FALSE),"")</f>
        <v>018208253593</v>
      </c>
      <c r="K35" s="45">
        <f>IFERROR(VLOOKUP($D35,'Master Sheet'!$B:$AA,8,FALSE),"")</f>
        <v>5102.9549999999999</v>
      </c>
      <c r="M35" s="9"/>
    </row>
    <row r="36" spans="1:13" x14ac:dyDescent="0.25">
      <c r="A36" s="10"/>
      <c r="B36" s="31"/>
      <c r="C36" s="31"/>
      <c r="D36" s="53" t="s">
        <v>726</v>
      </c>
      <c r="E36" s="54"/>
      <c r="F36" s="17"/>
      <c r="G36" s="17" t="str">
        <f>IFERROR(VLOOKUP($D36,'Master Sheet'!$B:$AA,3,FALSE),"")</f>
        <v>MB-D11  BATTERY PACK FOR D7000</v>
      </c>
      <c r="H36" s="17"/>
      <c r="I36" s="17" t="str">
        <f>IFERROR(VLOOKUP($D36,'Master Sheet'!$B:$AA,2,FALSE),"")</f>
        <v>VFC00101</v>
      </c>
      <c r="J36" s="44" t="str">
        <f>IFERROR(VLOOKUP($D36,'Master Sheet'!$B:$AA,5,FALSE),"")</f>
        <v>018208270132</v>
      </c>
      <c r="K36" s="45">
        <f>IFERROR(VLOOKUP($D36,'Master Sheet'!$B:$AA,8,FALSE),"")</f>
        <v>5003.9549999999999</v>
      </c>
      <c r="M36" s="9"/>
    </row>
    <row r="37" spans="1:13" x14ac:dyDescent="0.25">
      <c r="A37" s="10"/>
      <c r="B37" s="31"/>
      <c r="C37" s="31"/>
      <c r="D37" s="53" t="s">
        <v>727</v>
      </c>
      <c r="E37" s="54"/>
      <c r="F37" s="17"/>
      <c r="G37" s="17" t="str">
        <f>IFERROR(VLOOKUP($D37,'Master Sheet'!$B:$AA,3,FALSE),"")</f>
        <v>MB-D14 BATTERY PACK FOR D600/610</v>
      </c>
      <c r="H37" s="17"/>
      <c r="I37" s="17" t="str">
        <f>IFERROR(VLOOKUP($D37,'Master Sheet'!$B:$AA,2,FALSE),"")</f>
        <v>VFC00301</v>
      </c>
      <c r="J37" s="44" t="str">
        <f>IFERROR(VLOOKUP($D37,'Master Sheet'!$B:$AA,5,FALSE),"")</f>
        <v>018208270651</v>
      </c>
      <c r="K37" s="45">
        <f>IFERROR(VLOOKUP($D37,'Master Sheet'!$B:$AA,8,FALSE),"")</f>
        <v>4328.9549999999999</v>
      </c>
      <c r="M37" s="9"/>
    </row>
    <row r="38" spans="1:13" x14ac:dyDescent="0.25">
      <c r="A38" s="10"/>
      <c r="B38" s="31"/>
      <c r="C38" s="31"/>
      <c r="D38" s="53" t="s">
        <v>728</v>
      </c>
      <c r="E38" s="54"/>
      <c r="F38" s="17"/>
      <c r="G38" s="17" t="str">
        <f>IFERROR(VLOOKUP($D38,'Master Sheet'!$B:$AA,3,FALSE),"")</f>
        <v>MB-D16 BATTERY PACK FOR D750</v>
      </c>
      <c r="H38" s="17"/>
      <c r="I38" s="17" t="str">
        <f>IFERROR(VLOOKUP($D38,'Master Sheet'!$B:$AA,2,FALSE),"")</f>
        <v>VFC00501</v>
      </c>
      <c r="J38" s="44" t="str">
        <f>IFERROR(VLOOKUP($D38,'Master Sheet'!$B:$AA,5,FALSE),"")</f>
        <v>018208271542</v>
      </c>
      <c r="K38" s="45">
        <f>IFERROR(VLOOKUP($D38,'Master Sheet'!$B:$AA,8,FALSE),"")</f>
        <v>6452.9549999999999</v>
      </c>
      <c r="M38" s="9"/>
    </row>
    <row r="39" spans="1:13" x14ac:dyDescent="0.25">
      <c r="A39" s="10"/>
      <c r="B39" s="31"/>
      <c r="C39" s="31"/>
      <c r="D39" s="53" t="s">
        <v>40</v>
      </c>
      <c r="E39" s="54"/>
      <c r="F39" s="17"/>
      <c r="G39" s="17" t="str">
        <f>IFERROR(VLOOKUP($D39,'Master Sheet'!$B:$AA,3,FALSE),"")</f>
        <v>MH-26aAK BATTERY CHARGER FOR EN-EL18</v>
      </c>
      <c r="H39" s="17"/>
      <c r="I39" s="17"/>
      <c r="J39" s="44" t="str">
        <f>IFERROR(VLOOKUP($D39,'Master Sheet'!$B:$AA,5,FALSE),"")</f>
        <v>018208958269</v>
      </c>
      <c r="K39" s="45">
        <f>IFERROR(VLOOKUP($D39,'Master Sheet'!$B:$AA,8,FALSE),"")</f>
        <v>7316.9549999999999</v>
      </c>
      <c r="M39" s="9"/>
    </row>
    <row r="40" spans="1:13" x14ac:dyDescent="0.25">
      <c r="A40" s="10"/>
      <c r="B40" s="31"/>
      <c r="C40" s="31"/>
      <c r="D40" s="53" t="s">
        <v>729</v>
      </c>
      <c r="E40" s="54"/>
      <c r="F40" s="17"/>
      <c r="G40" s="17" t="str">
        <f>IFERROR(VLOOKUP($D40,'Master Sheet'!$B:$AA,3,FALSE),"")</f>
        <v>40.5 Filter NC Neutral Colour</v>
      </c>
      <c r="H40" s="17"/>
      <c r="I40" s="17" t="str">
        <f>IFERROR(VLOOKUP($D40,'Master Sheet'!$B:$AA,2,FALSE),"")</f>
        <v>FTA08201</v>
      </c>
      <c r="J40" s="44" t="str">
        <f>IFERROR(VLOOKUP($D40,'Master Sheet'!$B:$AA,5,FALSE),"")</f>
        <v>018208036240</v>
      </c>
      <c r="K40" s="45">
        <f>IFERROR(VLOOKUP($D40,'Master Sheet'!$B:$AA,8,FALSE),"")</f>
        <v>575.95500000000004</v>
      </c>
      <c r="M40" s="9"/>
    </row>
    <row r="41" spans="1:13" x14ac:dyDescent="0.25">
      <c r="A41" s="10"/>
      <c r="B41" s="31"/>
      <c r="C41" s="31"/>
      <c r="D41" s="53" t="s">
        <v>730</v>
      </c>
      <c r="E41" s="54"/>
      <c r="F41" s="17"/>
      <c r="G41" s="17" t="str">
        <f>IFERROR(VLOOKUP($D41,'Master Sheet'!$B:$AA,3,FALSE),"")</f>
        <v>CAPTURE NX2 COMPLETE VERSION SOFTWARE</v>
      </c>
      <c r="H41" s="17"/>
      <c r="I41" s="17">
        <f>IFERROR(VLOOKUP($D41,'Master Sheet'!$B:$AA,2,FALSE),"")</f>
        <v>0</v>
      </c>
      <c r="J41" s="44" t="str">
        <f>IFERROR(VLOOKUP($D41,'Master Sheet'!$B:$AA,5,FALSE),"")</f>
        <v>018208915583</v>
      </c>
      <c r="K41" s="45">
        <f>IFERROR(VLOOKUP($D41,'Master Sheet'!$B:$AA,8,FALSE),"")</f>
        <v>1925.9549999999999</v>
      </c>
      <c r="M41" s="9"/>
    </row>
    <row r="42" spans="1:13" x14ac:dyDescent="0.25">
      <c r="A42" s="10"/>
      <c r="B42" s="31"/>
      <c r="C42" s="31"/>
      <c r="D42" s="53" t="s">
        <v>892</v>
      </c>
      <c r="E42" s="54"/>
      <c r="F42" s="17"/>
      <c r="G42" s="17" t="str">
        <f>IFERROR(VLOOKUP($D42,'Master Sheet'!$B:$AA,3,FALSE),"")</f>
        <v>EN-EL18B RECHARGEABLE LI-ION BATTERY</v>
      </c>
      <c r="H42" s="17"/>
      <c r="I42" s="17"/>
      <c r="J42" s="44" t="str">
        <f>IFERROR(VLOOKUP($D42,'Master Sheet'!$B:$AA,5,FALSE),"")</f>
        <v>018208271863</v>
      </c>
      <c r="K42" s="45">
        <f>IFERROR(VLOOKUP($D42,'Master Sheet'!$B:$AA,8,FALSE),"")</f>
        <v>2339.9549999999999</v>
      </c>
      <c r="M42" s="9"/>
    </row>
    <row r="43" spans="1:13" ht="25.5" x14ac:dyDescent="0.25">
      <c r="A43" s="10"/>
      <c r="B43" s="31"/>
      <c r="C43" s="31"/>
      <c r="D43" s="53" t="s">
        <v>847</v>
      </c>
      <c r="E43" s="54"/>
      <c r="F43" s="17"/>
      <c r="G43" s="17" t="str">
        <f>IFERROR(VLOOKUP($D43,'Master Sheet'!$B:$AA,3,FALSE),"")</f>
        <v>Nikon AN-DC 24 Strap Z-Series</v>
      </c>
      <c r="H43" s="17"/>
      <c r="I43" s="17">
        <f>IFERROR(VLOOKUP($D43,'Master Sheet'!$B:$AA,2,FALSE),"")</f>
        <v>0</v>
      </c>
      <c r="J43" s="44" t="str">
        <f>IFERROR(VLOOKUP($D43,'Master Sheet'!$B:$AA,5,FALSE),"")</f>
        <v>018208272259</v>
      </c>
      <c r="K43" s="45">
        <f>IFERROR(VLOOKUP($D43,'Master Sheet'!$B:$AA,8,FALSE),"")</f>
        <v>359.95499999999998</v>
      </c>
      <c r="M43" s="9"/>
    </row>
    <row r="44" spans="1:13" x14ac:dyDescent="0.25">
      <c r="A44" s="10"/>
      <c r="B44" s="31"/>
      <c r="C44" s="31"/>
      <c r="D44" s="53" t="s">
        <v>893</v>
      </c>
      <c r="E44" s="54"/>
      <c r="F44" s="17"/>
      <c r="G44" s="17" t="str">
        <f>IFERROR(VLOOKUP($D44,'Master Sheet'!$B:$AA,3,FALSE),"")</f>
        <v>MB-D18 BATTERY PACK FOR D850</v>
      </c>
      <c r="H44" s="17"/>
      <c r="I44" s="17" t="str">
        <f>IFERROR(VLOOKUP($D44,'Master Sheet'!$B:$AA,2,FALSE),"")</f>
        <v>VFC00701</v>
      </c>
      <c r="J44" s="44" t="str">
        <f>IFERROR(VLOOKUP($D44,'Master Sheet'!$B:$AA,5,FALSE),"")</f>
        <v>018208271887</v>
      </c>
      <c r="K44" s="45">
        <f>IFERROR(VLOOKUP($D44,'Master Sheet'!$B:$AA,8,FALSE),"")</f>
        <v>8549.9550000000017</v>
      </c>
      <c r="M44" s="9"/>
    </row>
    <row r="45" spans="1:13" x14ac:dyDescent="0.25">
      <c r="A45" s="10"/>
      <c r="B45" s="31"/>
      <c r="C45" s="31"/>
      <c r="D45" s="53" t="s">
        <v>895</v>
      </c>
      <c r="E45" s="54"/>
      <c r="F45" s="17"/>
      <c r="G45" s="17" t="str">
        <f>IFERROR(VLOOKUP($D45,'Master Sheet'!$B:$AA,3,FALSE),"")</f>
        <v>UC-E6 USB CABLE</v>
      </c>
      <c r="H45" s="17"/>
      <c r="I45" s="17" t="str">
        <f>IFERROR(VLOOKUP($D45,'Master Sheet'!$B:$AA,2,FALSE),"")</f>
        <v>VAG11701</v>
      </c>
      <c r="J45" s="44" t="str">
        <f>IFERROR(VLOOKUP($D45,'Master Sheet'!$B:$AA,5,FALSE),"")</f>
        <v>018208256044</v>
      </c>
      <c r="K45" s="45">
        <f>IFERROR(VLOOKUP($D45,'Master Sheet'!$B:$AA,8,FALSE),"")</f>
        <v>170.95499999999998</v>
      </c>
      <c r="M45" s="9"/>
    </row>
    <row r="46" spans="1:13" x14ac:dyDescent="0.25">
      <c r="A46" s="10"/>
      <c r="B46" s="31"/>
      <c r="C46" s="31"/>
      <c r="D46" s="53" t="s">
        <v>60</v>
      </c>
      <c r="E46" s="54"/>
      <c r="F46" s="17"/>
      <c r="G46" s="17" t="str">
        <f>IFERROR(VLOOKUP($D46,'Master Sheet'!$B:$AA,3,FALSE),"")</f>
        <v>10-20MM F/4.5-5.6G VR AF-P DX LENS</v>
      </c>
      <c r="H46" s="17"/>
      <c r="I46" s="17" t="str">
        <f>IFERROR(VLOOKUP($D46,'Master Sheet'!$B:$AA,2,FALSE),"")</f>
        <v>JAA832DA</v>
      </c>
      <c r="J46" s="44" t="str">
        <f>IFERROR(VLOOKUP($D46,'Master Sheet'!$B:$AA,5,FALSE),"")</f>
        <v>018208200672</v>
      </c>
      <c r="K46" s="45">
        <f>IFERROR(VLOOKUP($D46,'Master Sheet'!$B:$AA,8,FALSE),"")</f>
        <v>5480.9549999999999</v>
      </c>
      <c r="M46" s="9"/>
    </row>
    <row r="47" spans="1:13" x14ac:dyDescent="0.25">
      <c r="A47" s="10"/>
      <c r="B47" s="31"/>
      <c r="C47" s="31"/>
      <c r="D47" s="53" t="s">
        <v>731</v>
      </c>
      <c r="E47" s="54"/>
      <c r="F47" s="17"/>
      <c r="G47" s="17" t="str">
        <f>IFERROR(VLOOKUP($D47,'Master Sheet'!$B:$AA,3,FALSE),"")</f>
        <v>12-24MM F4G DX  AF-S LENS</v>
      </c>
      <c r="H47" s="17"/>
      <c r="I47" s="17" t="str">
        <f>IFERROR(VLOOKUP($D47,'Master Sheet'!$B:$AA,2,FALSE),"")</f>
        <v>JAA784  EOL</v>
      </c>
      <c r="J47" s="44" t="str">
        <f>IFERROR(VLOOKUP($D47,'Master Sheet'!$B:$AA,5,FALSE),"")</f>
        <v>018208021444</v>
      </c>
      <c r="K47" s="45">
        <f>IFERROR(VLOOKUP($D47,'Master Sheet'!$B:$AA,8,FALSE),"")</f>
        <v>21770.955000000002</v>
      </c>
      <c r="M47" s="9"/>
    </row>
    <row r="48" spans="1:13" x14ac:dyDescent="0.25">
      <c r="A48" s="10"/>
      <c r="B48" s="31"/>
      <c r="C48" s="31"/>
      <c r="D48" s="53" t="s">
        <v>103</v>
      </c>
      <c r="E48" s="54"/>
      <c r="F48" s="17"/>
      <c r="G48" s="17" t="str">
        <f>IFERROR(VLOOKUP($D48,'Master Sheet'!$B:$AA,3,FALSE),"")</f>
        <v>TC-20E AF-S III TELECONVERTER</v>
      </c>
      <c r="H48" s="17"/>
      <c r="I48" s="17" t="str">
        <f>IFERROR(VLOOKUP($D48,'Master Sheet'!$B:$AA,2,FALSE),"")</f>
        <v>JAA913DA</v>
      </c>
      <c r="J48" s="44" t="str">
        <f>IFERROR(VLOOKUP($D48,'Master Sheet'!$B:$AA,5,FALSE),"")</f>
        <v>018208021895</v>
      </c>
      <c r="K48" s="45">
        <f>IFERROR(VLOOKUP($D48,'Master Sheet'!$B:$AA,8,FALSE),"")</f>
        <v>9404.9550000000017</v>
      </c>
      <c r="M48" s="9"/>
    </row>
    <row r="49" spans="1:13" x14ac:dyDescent="0.25">
      <c r="A49" s="10"/>
      <c r="B49" s="31"/>
      <c r="C49" s="31"/>
      <c r="D49" s="53"/>
      <c r="E49" s="33"/>
      <c r="F49" s="2"/>
      <c r="G49" s="2" t="str">
        <f>IFERROR(VLOOKUP($D49,'Master Sheet'!$B:$AA,3,FALSE),"")</f>
        <v/>
      </c>
      <c r="H49" s="2"/>
      <c r="I49" s="2" t="str">
        <f>IFERROR(VLOOKUP($D49,'Master Sheet'!$B:$AA,2,FALSE),"")</f>
        <v/>
      </c>
      <c r="J49" s="34" t="str">
        <f>IFERROR(VLOOKUP($D49,'Master Sheet'!$B:$AA,5,FALSE),"")</f>
        <v/>
      </c>
      <c r="K49" s="35" t="str">
        <f>IFERROR(VLOOKUP($D49,'Master Sheet'!$B:$AA,8,FALSE),"")</f>
        <v/>
      </c>
      <c r="M49" s="9"/>
    </row>
    <row r="50" spans="1:13" x14ac:dyDescent="0.25">
      <c r="A50" s="10"/>
      <c r="B50" s="31"/>
      <c r="C50" s="31"/>
      <c r="D50" s="53"/>
      <c r="E50" s="33"/>
      <c r="F50" s="2"/>
      <c r="G50" s="17" t="str">
        <f>IFERROR(VLOOKUP($D50,'Master Sheet'!$B:$AA,3,FALSE),"")</f>
        <v/>
      </c>
      <c r="H50" s="2"/>
      <c r="I50" s="2" t="str">
        <f>IFERROR(VLOOKUP($D50,'Master Sheet'!$B:$AA,2,FALSE),"")</f>
        <v/>
      </c>
      <c r="J50" s="34" t="str">
        <f>IFERROR(VLOOKUP($D50,'Master Sheet'!$B:$AA,5,FALSE),"")</f>
        <v/>
      </c>
      <c r="K50" s="35" t="str">
        <f>IFERROR(VLOOKUP($D50,'Master Sheet'!$B:$AA,8,FALSE),"")</f>
        <v/>
      </c>
      <c r="M50" s="9"/>
    </row>
    <row r="51" spans="1:13" x14ac:dyDescent="0.25">
      <c r="A51" s="10"/>
      <c r="B51" s="31"/>
      <c r="C51" s="31"/>
      <c r="D51" s="53"/>
      <c r="E51" s="33"/>
      <c r="F51" s="2"/>
      <c r="G51" s="17" t="str">
        <f>IFERROR(VLOOKUP($D51,'Master Sheet'!$B:$AA,3,FALSE),"")</f>
        <v/>
      </c>
      <c r="H51" s="2"/>
      <c r="I51" s="2" t="str">
        <f>IFERROR(VLOOKUP($D51,'Master Sheet'!$B:$AA,2,FALSE),"")</f>
        <v/>
      </c>
      <c r="J51" s="34" t="str">
        <f>IFERROR(VLOOKUP($D51,'Master Sheet'!$B:$AA,5,FALSE),"")</f>
        <v/>
      </c>
      <c r="K51" s="35" t="str">
        <f>IFERROR(VLOOKUP($D51,'Master Sheet'!$B:$AA,8,FALSE),"")</f>
        <v/>
      </c>
      <c r="M51" s="9"/>
    </row>
    <row r="52" spans="1:13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</sheetData>
  <sortState xmlns:xlrd2="http://schemas.microsoft.com/office/spreadsheetml/2017/richdata2" ref="D24:D49">
    <sortCondition ref="D24:D49"/>
  </sortState>
  <mergeCells count="1">
    <mergeCell ref="G20:K20"/>
  </mergeCells>
  <pageMargins left="0.7" right="0.7" top="0.75" bottom="0.75" header="0.3" footer="0.3"/>
  <pageSetup paperSize="9" scale="56" orientation="portrait" r:id="rId1"/>
  <rowBreaks count="2" manualBreakCount="2">
    <brk id="101" max="12" man="1"/>
    <brk id="200" max="12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AI213"/>
  <sheetViews>
    <sheetView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8" sqref="I58"/>
    </sheetView>
  </sheetViews>
  <sheetFormatPr defaultColWidth="12" defaultRowHeight="12.75" x14ac:dyDescent="0.2"/>
  <cols>
    <col min="1" max="1" width="16.28515625" style="1" bestFit="1" customWidth="1"/>
    <col min="2" max="2" width="18.5703125" style="1" bestFit="1" customWidth="1"/>
    <col min="3" max="3" width="14.7109375" style="1" bestFit="1" customWidth="1"/>
    <col min="4" max="4" width="82.7109375" style="1" bestFit="1" customWidth="1"/>
    <col min="5" max="5" width="14.5703125" style="80" bestFit="1" customWidth="1"/>
    <col min="6" max="6" width="18.140625" style="80" customWidth="1"/>
    <col min="7" max="7" width="15.42578125" style="80" bestFit="1" customWidth="1"/>
    <col min="8" max="8" width="19" style="80" bestFit="1" customWidth="1"/>
    <col min="9" max="26" width="15.7109375" style="24" bestFit="1" customWidth="1"/>
    <col min="27" max="27" width="16.85546875" style="24" bestFit="1" customWidth="1"/>
    <col min="28" max="28" width="17.28515625" style="65" bestFit="1" customWidth="1"/>
    <col min="29" max="29" width="17.28515625" style="1" bestFit="1" customWidth="1"/>
    <col min="30" max="16384" width="12" style="1"/>
  </cols>
  <sheetData>
    <row r="1" spans="1:31" x14ac:dyDescent="0.2">
      <c r="G1" s="1"/>
    </row>
    <row r="2" spans="1:31" s="17" customFormat="1" ht="25.5" x14ac:dyDescent="0.25">
      <c r="A2" s="81" t="s">
        <v>437</v>
      </c>
      <c r="B2" s="81" t="s">
        <v>75</v>
      </c>
      <c r="C2" s="81" t="s">
        <v>76</v>
      </c>
      <c r="D2" s="81" t="s">
        <v>77</v>
      </c>
      <c r="E2" s="81" t="s">
        <v>78</v>
      </c>
      <c r="F2" s="81" t="s">
        <v>79</v>
      </c>
      <c r="G2" s="81" t="s">
        <v>442</v>
      </c>
      <c r="H2" s="82" t="s">
        <v>446</v>
      </c>
      <c r="I2" s="82" t="s">
        <v>942</v>
      </c>
      <c r="J2" s="25" t="s">
        <v>890</v>
      </c>
      <c r="K2" s="25" t="s">
        <v>881</v>
      </c>
      <c r="L2" s="25" t="s">
        <v>875</v>
      </c>
      <c r="M2" s="25" t="s">
        <v>874</v>
      </c>
      <c r="N2" s="25" t="s">
        <v>873</v>
      </c>
      <c r="O2" s="25" t="s">
        <v>863</v>
      </c>
      <c r="P2" s="25" t="s">
        <v>853</v>
      </c>
      <c r="Q2" s="25" t="s">
        <v>844</v>
      </c>
      <c r="R2" s="25" t="s">
        <v>837</v>
      </c>
      <c r="S2" s="25" t="s">
        <v>836</v>
      </c>
      <c r="T2" s="25" t="s">
        <v>835</v>
      </c>
      <c r="U2" s="25" t="s">
        <v>832</v>
      </c>
      <c r="V2" s="25" t="s">
        <v>826</v>
      </c>
      <c r="W2" s="25" t="s">
        <v>815</v>
      </c>
      <c r="X2" s="25" t="s">
        <v>807</v>
      </c>
      <c r="Y2" s="25" t="s">
        <v>801</v>
      </c>
      <c r="Z2" s="25" t="s">
        <v>675</v>
      </c>
      <c r="AA2" s="25" t="s">
        <v>639</v>
      </c>
      <c r="AB2" s="66" t="s">
        <v>608</v>
      </c>
      <c r="AC2" s="27" t="s">
        <v>608</v>
      </c>
    </row>
    <row r="3" spans="1:31" x14ac:dyDescent="0.2">
      <c r="A3" s="83" t="s">
        <v>913</v>
      </c>
      <c r="B3" s="1" t="s">
        <v>783</v>
      </c>
      <c r="D3" s="1" t="s">
        <v>784</v>
      </c>
      <c r="E3" s="80" t="s">
        <v>785</v>
      </c>
      <c r="F3" s="80" t="s">
        <v>223</v>
      </c>
      <c r="G3" s="80" t="s">
        <v>443</v>
      </c>
      <c r="H3" s="80" t="s">
        <v>718</v>
      </c>
      <c r="I3" s="24">
        <v>296.95499999999998</v>
      </c>
      <c r="J3" s="24">
        <f>I3*0.9</f>
        <v>267.2595</v>
      </c>
      <c r="K3" s="24">
        <v>329.95</v>
      </c>
      <c r="L3" s="24">
        <v>329.95</v>
      </c>
      <c r="M3" s="24">
        <v>329.95</v>
      </c>
      <c r="N3" s="24">
        <v>329.95</v>
      </c>
      <c r="O3" s="24">
        <v>329.95</v>
      </c>
      <c r="P3" s="24">
        <v>329.95</v>
      </c>
      <c r="Q3" s="24">
        <v>329.95</v>
      </c>
      <c r="R3" s="24">
        <v>329.95</v>
      </c>
      <c r="S3" s="24">
        <v>329.95</v>
      </c>
      <c r="T3" s="24">
        <v>329.95</v>
      </c>
      <c r="U3" s="24">
        <v>329.95</v>
      </c>
      <c r="V3" s="24">
        <v>329.95</v>
      </c>
      <c r="W3" s="24">
        <v>329.95</v>
      </c>
      <c r="X3" s="24">
        <v>329.95</v>
      </c>
      <c r="Y3" s="24">
        <v>329.95</v>
      </c>
      <c r="Z3" s="24">
        <v>329.95</v>
      </c>
      <c r="AB3" s="24"/>
      <c r="AC3" s="28"/>
    </row>
    <row r="4" spans="1:31" x14ac:dyDescent="0.2">
      <c r="A4" s="1" t="s">
        <v>732</v>
      </c>
      <c r="B4" s="67" t="s">
        <v>719</v>
      </c>
      <c r="C4" s="67"/>
      <c r="D4" s="67" t="s">
        <v>739</v>
      </c>
      <c r="E4" s="84" t="s">
        <v>433</v>
      </c>
      <c r="F4" s="84" t="s">
        <v>740</v>
      </c>
      <c r="G4" s="84" t="s">
        <v>445</v>
      </c>
      <c r="H4" s="84" t="s">
        <v>732</v>
      </c>
      <c r="I4" s="68">
        <v>40.455000000000005</v>
      </c>
      <c r="J4" s="24">
        <f t="shared" ref="J4:J67" si="0">I4*0.9</f>
        <v>36.409500000000008</v>
      </c>
      <c r="K4" s="68">
        <v>44.95</v>
      </c>
      <c r="L4" s="68">
        <v>44.95</v>
      </c>
      <c r="M4" s="68">
        <v>44.95</v>
      </c>
      <c r="N4" s="68">
        <v>44.95</v>
      </c>
      <c r="O4" s="68">
        <v>44.95</v>
      </c>
      <c r="P4" s="68">
        <v>44.95</v>
      </c>
      <c r="Q4" s="68">
        <v>44.95</v>
      </c>
      <c r="R4" s="68">
        <v>44.95</v>
      </c>
      <c r="S4" s="74">
        <v>44.95</v>
      </c>
      <c r="T4" s="68">
        <v>39.950000000000003</v>
      </c>
      <c r="U4" s="68">
        <v>39.950000000000003</v>
      </c>
      <c r="V4" s="68">
        <v>39.950000000000003</v>
      </c>
      <c r="W4" s="68">
        <v>39.950000000000003</v>
      </c>
      <c r="X4" s="68">
        <v>39.950000000000003</v>
      </c>
      <c r="Y4" s="68">
        <v>39.950000000000003</v>
      </c>
      <c r="Z4" s="68">
        <v>39.950000000000003</v>
      </c>
      <c r="AA4" s="68"/>
      <c r="AB4" s="24"/>
      <c r="AC4" s="28"/>
    </row>
    <row r="5" spans="1:31" x14ac:dyDescent="0.2">
      <c r="A5" s="1" t="s">
        <v>732</v>
      </c>
      <c r="B5" s="67" t="s">
        <v>264</v>
      </c>
      <c r="C5" s="67" t="s">
        <v>733</v>
      </c>
      <c r="D5" s="67" t="s">
        <v>741</v>
      </c>
      <c r="E5" s="84" t="s">
        <v>433</v>
      </c>
      <c r="F5" s="84" t="s">
        <v>734</v>
      </c>
      <c r="G5" s="84" t="s">
        <v>443</v>
      </c>
      <c r="H5" s="84" t="s">
        <v>732</v>
      </c>
      <c r="I5" s="68">
        <v>6740.9549999999999</v>
      </c>
      <c r="J5" s="24">
        <f t="shared" si="0"/>
        <v>6066.8595000000005</v>
      </c>
      <c r="K5" s="68">
        <v>7489.95</v>
      </c>
      <c r="L5" s="68">
        <v>7489.95</v>
      </c>
      <c r="M5" s="68">
        <v>7489.95</v>
      </c>
      <c r="N5" s="68">
        <v>7489.95</v>
      </c>
      <c r="O5" s="68">
        <v>7489.95</v>
      </c>
      <c r="P5" s="68">
        <v>7489.95</v>
      </c>
      <c r="Q5" s="68">
        <v>7489.95</v>
      </c>
      <c r="R5" s="68">
        <v>7489.95</v>
      </c>
      <c r="S5" s="74">
        <v>7489.95</v>
      </c>
      <c r="T5" s="68">
        <v>6999.95</v>
      </c>
      <c r="U5" s="68">
        <v>6999.95</v>
      </c>
      <c r="V5" s="68">
        <v>6999.95</v>
      </c>
      <c r="W5" s="68">
        <v>6999.95</v>
      </c>
      <c r="X5" s="68">
        <v>6999.95</v>
      </c>
      <c r="Y5" s="68">
        <v>6999.95</v>
      </c>
      <c r="Z5" s="68">
        <v>6999.95</v>
      </c>
      <c r="AA5" s="68"/>
      <c r="AB5" s="24"/>
      <c r="AC5" s="28"/>
    </row>
    <row r="6" spans="1:31" x14ac:dyDescent="0.2">
      <c r="A6" s="1" t="s">
        <v>732</v>
      </c>
      <c r="B6" s="67" t="s">
        <v>720</v>
      </c>
      <c r="C6" s="67"/>
      <c r="D6" s="67" t="s">
        <v>742</v>
      </c>
      <c r="E6" s="84" t="s">
        <v>433</v>
      </c>
      <c r="F6" s="84" t="s">
        <v>743</v>
      </c>
      <c r="G6" s="84" t="s">
        <v>445</v>
      </c>
      <c r="H6" s="84" t="s">
        <v>732</v>
      </c>
      <c r="I6" s="68">
        <v>1772.9550000000002</v>
      </c>
      <c r="J6" s="24">
        <f t="shared" si="0"/>
        <v>1595.6595000000002</v>
      </c>
      <c r="K6" s="68">
        <v>1969.95</v>
      </c>
      <c r="L6" s="68">
        <v>1969.95</v>
      </c>
      <c r="M6" s="68">
        <v>1969.95</v>
      </c>
      <c r="N6" s="68">
        <v>1969.95</v>
      </c>
      <c r="O6" s="68">
        <v>1969.95</v>
      </c>
      <c r="P6" s="68">
        <v>1969.95</v>
      </c>
      <c r="Q6" s="68">
        <v>1969.95</v>
      </c>
      <c r="R6" s="68">
        <v>1969.95</v>
      </c>
      <c r="S6" s="74">
        <v>1969.95</v>
      </c>
      <c r="T6" s="68">
        <v>1839.95</v>
      </c>
      <c r="U6" s="68">
        <v>1839.95</v>
      </c>
      <c r="V6" s="68">
        <v>1839.95</v>
      </c>
      <c r="W6" s="68">
        <v>1839.95</v>
      </c>
      <c r="X6" s="68">
        <v>1839.95</v>
      </c>
      <c r="Y6" s="68">
        <v>1839.95</v>
      </c>
      <c r="Z6" s="68">
        <v>1839.95</v>
      </c>
      <c r="AA6" s="68"/>
      <c r="AB6" s="24"/>
      <c r="AC6" s="28"/>
    </row>
    <row r="7" spans="1:31" s="3" customFormat="1" x14ac:dyDescent="0.2">
      <c r="A7" s="1" t="s">
        <v>732</v>
      </c>
      <c r="B7" s="67" t="s">
        <v>721</v>
      </c>
      <c r="C7" s="67"/>
      <c r="D7" s="67" t="s">
        <v>744</v>
      </c>
      <c r="E7" s="84" t="s">
        <v>433</v>
      </c>
      <c r="F7" s="84" t="s">
        <v>745</v>
      </c>
      <c r="G7" s="84" t="s">
        <v>445</v>
      </c>
      <c r="H7" s="84" t="s">
        <v>732</v>
      </c>
      <c r="I7" s="68">
        <v>476.95500000000004</v>
      </c>
      <c r="J7" s="24">
        <f t="shared" si="0"/>
        <v>429.25950000000006</v>
      </c>
      <c r="K7" s="68">
        <v>529.95000000000005</v>
      </c>
      <c r="L7" s="68">
        <v>529.95000000000005</v>
      </c>
      <c r="M7" s="68">
        <v>529.95000000000005</v>
      </c>
      <c r="N7" s="68">
        <v>529.95000000000005</v>
      </c>
      <c r="O7" s="68">
        <v>529.95000000000005</v>
      </c>
      <c r="P7" s="68">
        <v>529.95000000000005</v>
      </c>
      <c r="Q7" s="68">
        <v>529.95000000000005</v>
      </c>
      <c r="R7" s="68">
        <v>529.95000000000005</v>
      </c>
      <c r="S7" s="74">
        <v>529.95000000000005</v>
      </c>
      <c r="T7" s="68">
        <v>499.95</v>
      </c>
      <c r="U7" s="68">
        <v>499.95</v>
      </c>
      <c r="V7" s="68">
        <v>499.95</v>
      </c>
      <c r="W7" s="68">
        <v>499.95</v>
      </c>
      <c r="X7" s="68">
        <v>499.95</v>
      </c>
      <c r="Y7" s="68">
        <v>499.95</v>
      </c>
      <c r="Z7" s="68">
        <v>499.95</v>
      </c>
      <c r="AA7" s="68"/>
      <c r="AB7" s="24"/>
      <c r="AC7" s="28"/>
      <c r="AD7" s="1"/>
      <c r="AE7" s="1"/>
    </row>
    <row r="8" spans="1:31" s="3" customFormat="1" x14ac:dyDescent="0.2">
      <c r="A8" s="1" t="s">
        <v>732</v>
      </c>
      <c r="B8" s="67" t="s">
        <v>722</v>
      </c>
      <c r="C8" s="67" t="s">
        <v>746</v>
      </c>
      <c r="D8" s="67" t="s">
        <v>747</v>
      </c>
      <c r="E8" s="84" t="s">
        <v>433</v>
      </c>
      <c r="F8" s="84" t="s">
        <v>748</v>
      </c>
      <c r="G8" s="84" t="s">
        <v>445</v>
      </c>
      <c r="H8" s="84" t="s">
        <v>732</v>
      </c>
      <c r="I8" s="68">
        <v>1025.9550000000002</v>
      </c>
      <c r="J8" s="24">
        <f t="shared" si="0"/>
        <v>923.35950000000014</v>
      </c>
      <c r="K8" s="68">
        <v>1139.95</v>
      </c>
      <c r="L8" s="68">
        <v>1139.95</v>
      </c>
      <c r="M8" s="68">
        <v>1139.95</v>
      </c>
      <c r="N8" s="68">
        <v>1139.95</v>
      </c>
      <c r="O8" s="68">
        <v>1139.95</v>
      </c>
      <c r="P8" s="68">
        <v>1139.95</v>
      </c>
      <c r="Q8" s="68">
        <v>1139.95</v>
      </c>
      <c r="R8" s="68">
        <v>1139.95</v>
      </c>
      <c r="S8" s="74">
        <v>1139.95</v>
      </c>
      <c r="T8" s="68">
        <v>1139.95</v>
      </c>
      <c r="U8" s="68">
        <v>1139.95</v>
      </c>
      <c r="V8" s="68">
        <v>1139.95</v>
      </c>
      <c r="W8" s="68">
        <v>1139.95</v>
      </c>
      <c r="X8" s="68">
        <v>1139.95</v>
      </c>
      <c r="Y8" s="68">
        <v>1139.95</v>
      </c>
      <c r="Z8" s="68">
        <v>1139.95</v>
      </c>
      <c r="AA8" s="68"/>
      <c r="AB8" s="24"/>
      <c r="AC8" s="28"/>
      <c r="AD8" s="1"/>
      <c r="AE8" s="1"/>
    </row>
    <row r="9" spans="1:31" s="3" customFormat="1" x14ac:dyDescent="0.2">
      <c r="A9" s="1" t="s">
        <v>732</v>
      </c>
      <c r="B9" s="67" t="s">
        <v>39</v>
      </c>
      <c r="C9" s="67" t="s">
        <v>749</v>
      </c>
      <c r="D9" s="67" t="s">
        <v>750</v>
      </c>
      <c r="E9" s="84" t="s">
        <v>433</v>
      </c>
      <c r="F9" s="84" t="s">
        <v>751</v>
      </c>
      <c r="G9" s="84" t="s">
        <v>444</v>
      </c>
      <c r="H9" s="84" t="s">
        <v>732</v>
      </c>
      <c r="I9" s="68">
        <v>3347.9549999999999</v>
      </c>
      <c r="J9" s="24">
        <f t="shared" si="0"/>
        <v>3013.1595000000002</v>
      </c>
      <c r="K9" s="68">
        <v>3719.95</v>
      </c>
      <c r="L9" s="68">
        <v>3719.95</v>
      </c>
      <c r="M9" s="68">
        <v>3719.95</v>
      </c>
      <c r="N9" s="68">
        <v>3719.95</v>
      </c>
      <c r="O9" s="68">
        <v>3719.95</v>
      </c>
      <c r="P9" s="68">
        <v>3719.95</v>
      </c>
      <c r="Q9" s="68">
        <v>3719.95</v>
      </c>
      <c r="R9" s="68">
        <v>3719.95</v>
      </c>
      <c r="S9" s="74">
        <v>3719.95</v>
      </c>
      <c r="T9" s="68">
        <v>3719.95</v>
      </c>
      <c r="U9" s="68">
        <v>3719.95</v>
      </c>
      <c r="V9" s="68">
        <v>3719.95</v>
      </c>
      <c r="W9" s="68">
        <v>3719.95</v>
      </c>
      <c r="X9" s="68">
        <v>3719.95</v>
      </c>
      <c r="Y9" s="68">
        <v>3719.95</v>
      </c>
      <c r="Z9" s="68">
        <v>3719.95</v>
      </c>
      <c r="AA9" s="68"/>
      <c r="AB9" s="24"/>
      <c r="AC9" s="28"/>
      <c r="AD9" s="1"/>
      <c r="AE9" s="1"/>
    </row>
    <row r="10" spans="1:31" s="3" customFormat="1" x14ac:dyDescent="0.2">
      <c r="A10" s="83" t="s">
        <v>913</v>
      </c>
      <c r="B10" s="1" t="s">
        <v>389</v>
      </c>
      <c r="C10" s="1" t="s">
        <v>390</v>
      </c>
      <c r="D10" s="1" t="s">
        <v>391</v>
      </c>
      <c r="E10" s="80" t="s">
        <v>440</v>
      </c>
      <c r="F10" s="85" t="s">
        <v>392</v>
      </c>
      <c r="G10" s="80" t="s">
        <v>443</v>
      </c>
      <c r="H10" s="80" t="s">
        <v>718</v>
      </c>
      <c r="I10" s="24">
        <v>125.955</v>
      </c>
      <c r="J10" s="24">
        <f t="shared" si="0"/>
        <v>113.3595</v>
      </c>
      <c r="K10" s="24">
        <v>139.94999999999999</v>
      </c>
      <c r="L10" s="24">
        <v>139.94999999999999</v>
      </c>
      <c r="M10" s="24">
        <v>139.94999999999999</v>
      </c>
      <c r="N10" s="24">
        <v>139.94999999999999</v>
      </c>
      <c r="O10" s="24">
        <v>139.94999999999999</v>
      </c>
      <c r="P10" s="24">
        <v>139.94999999999999</v>
      </c>
      <c r="Q10" s="24">
        <v>139.94999999999999</v>
      </c>
      <c r="R10" s="24">
        <v>139.94999999999999</v>
      </c>
      <c r="S10" s="73">
        <v>139.94999999999999</v>
      </c>
      <c r="T10" s="24">
        <v>129.94999999999999</v>
      </c>
      <c r="U10" s="24">
        <v>129.94999999999999</v>
      </c>
      <c r="V10" s="24">
        <v>129.94999999999999</v>
      </c>
      <c r="W10" s="24">
        <v>129.94999999999999</v>
      </c>
      <c r="X10" s="24">
        <v>129.94999999999999</v>
      </c>
      <c r="Y10" s="24">
        <v>129.94999999999999</v>
      </c>
      <c r="Z10" s="24">
        <v>129.94999999999999</v>
      </c>
      <c r="AA10" s="24">
        <v>129.94999999999999</v>
      </c>
      <c r="AB10" s="24"/>
      <c r="AC10" s="28"/>
      <c r="AD10" s="23"/>
      <c r="AE10" s="1"/>
    </row>
    <row r="11" spans="1:31" x14ac:dyDescent="0.2">
      <c r="A11" s="1" t="s">
        <v>732</v>
      </c>
      <c r="B11" s="67" t="s">
        <v>723</v>
      </c>
      <c r="C11" s="67"/>
      <c r="D11" s="67" t="s">
        <v>752</v>
      </c>
      <c r="E11" s="84" t="s">
        <v>433</v>
      </c>
      <c r="F11" s="84" t="s">
        <v>753</v>
      </c>
      <c r="G11" s="84" t="s">
        <v>445</v>
      </c>
      <c r="H11" s="84" t="s">
        <v>732</v>
      </c>
      <c r="I11" s="68">
        <v>1115.9550000000002</v>
      </c>
      <c r="J11" s="24">
        <f t="shared" si="0"/>
        <v>1004.3595000000001</v>
      </c>
      <c r="K11" s="68">
        <v>1239.95</v>
      </c>
      <c r="L11" s="68">
        <v>1239.95</v>
      </c>
      <c r="M11" s="68">
        <v>1239.95</v>
      </c>
      <c r="N11" s="68">
        <v>1239.95</v>
      </c>
      <c r="O11" s="68">
        <v>1239.95</v>
      </c>
      <c r="P11" s="68">
        <v>1239.95</v>
      </c>
      <c r="Q11" s="68">
        <v>1239.95</v>
      </c>
      <c r="R11" s="68">
        <v>1239.95</v>
      </c>
      <c r="S11" s="74">
        <v>1239.95</v>
      </c>
      <c r="T11" s="68">
        <v>1159.95</v>
      </c>
      <c r="U11" s="68">
        <v>1159.95</v>
      </c>
      <c r="V11" s="68">
        <v>1159.95</v>
      </c>
      <c r="W11" s="68">
        <v>1159.95</v>
      </c>
      <c r="X11" s="68">
        <v>1159.95</v>
      </c>
      <c r="Y11" s="68">
        <v>1159.95</v>
      </c>
      <c r="Z11" s="68">
        <v>1159.95</v>
      </c>
      <c r="AA11" s="68"/>
      <c r="AB11" s="24"/>
      <c r="AC11" s="28"/>
    </row>
    <row r="12" spans="1:31" x14ac:dyDescent="0.2">
      <c r="A12" s="1" t="s">
        <v>732</v>
      </c>
      <c r="B12" s="67" t="s">
        <v>724</v>
      </c>
      <c r="C12" s="67"/>
      <c r="D12" s="67" t="s">
        <v>754</v>
      </c>
      <c r="E12" s="84" t="s">
        <v>433</v>
      </c>
      <c r="F12" s="84" t="s">
        <v>755</v>
      </c>
      <c r="G12" s="84" t="s">
        <v>445</v>
      </c>
      <c r="H12" s="84" t="s">
        <v>732</v>
      </c>
      <c r="I12" s="68">
        <v>512.95500000000004</v>
      </c>
      <c r="J12" s="24">
        <f t="shared" si="0"/>
        <v>461.65950000000004</v>
      </c>
      <c r="K12" s="68">
        <v>569.95000000000005</v>
      </c>
      <c r="L12" s="68">
        <v>569.95000000000005</v>
      </c>
      <c r="M12" s="68">
        <v>569.95000000000005</v>
      </c>
      <c r="N12" s="68">
        <v>569.95000000000005</v>
      </c>
      <c r="O12" s="68">
        <v>569.95000000000005</v>
      </c>
      <c r="P12" s="68">
        <v>569.95000000000005</v>
      </c>
      <c r="Q12" s="68">
        <v>569.95000000000005</v>
      </c>
      <c r="R12" s="68">
        <v>569.95000000000005</v>
      </c>
      <c r="S12" s="74">
        <v>569.95000000000005</v>
      </c>
      <c r="T12" s="68">
        <v>529.95000000000005</v>
      </c>
      <c r="U12" s="68">
        <v>529.95000000000005</v>
      </c>
      <c r="V12" s="68">
        <v>529.95000000000005</v>
      </c>
      <c r="W12" s="68">
        <v>529.95000000000005</v>
      </c>
      <c r="X12" s="68">
        <v>529.95000000000005</v>
      </c>
      <c r="Y12" s="68">
        <v>529.95000000000005</v>
      </c>
      <c r="Z12" s="68">
        <v>529.95000000000005</v>
      </c>
      <c r="AA12" s="68"/>
      <c r="AB12" s="24"/>
      <c r="AC12" s="28"/>
    </row>
    <row r="13" spans="1:31" x14ac:dyDescent="0.2">
      <c r="A13" s="1" t="s">
        <v>732</v>
      </c>
      <c r="B13" s="67" t="s">
        <v>43</v>
      </c>
      <c r="C13" s="67" t="s">
        <v>44</v>
      </c>
      <c r="D13" s="67" t="s">
        <v>756</v>
      </c>
      <c r="E13" s="84" t="s">
        <v>433</v>
      </c>
      <c r="F13" s="84" t="s">
        <v>358</v>
      </c>
      <c r="G13" s="84" t="s">
        <v>443</v>
      </c>
      <c r="H13" s="84" t="s">
        <v>732</v>
      </c>
      <c r="I13" s="68">
        <v>692.95500000000004</v>
      </c>
      <c r="J13" s="24">
        <f t="shared" si="0"/>
        <v>623.65950000000009</v>
      </c>
      <c r="K13" s="68">
        <v>769.95</v>
      </c>
      <c r="L13" s="68">
        <v>769.95</v>
      </c>
      <c r="M13" s="68">
        <v>769.95</v>
      </c>
      <c r="N13" s="68">
        <v>769.95</v>
      </c>
      <c r="O13" s="68">
        <v>769.95</v>
      </c>
      <c r="P13" s="68">
        <v>769.95</v>
      </c>
      <c r="Q13" s="68">
        <v>769.95</v>
      </c>
      <c r="R13" s="68">
        <v>769.95</v>
      </c>
      <c r="S13" s="74">
        <v>769.95</v>
      </c>
      <c r="T13" s="68">
        <v>719.95</v>
      </c>
      <c r="U13" s="68">
        <v>719.95</v>
      </c>
      <c r="V13" s="68">
        <v>719.95</v>
      </c>
      <c r="W13" s="68">
        <v>719.95</v>
      </c>
      <c r="X13" s="68">
        <v>719.95</v>
      </c>
      <c r="Y13" s="68">
        <v>719.95</v>
      </c>
      <c r="Z13" s="68">
        <v>719.95</v>
      </c>
      <c r="AA13" s="68"/>
      <c r="AB13" s="24"/>
      <c r="AC13" s="28"/>
    </row>
    <row r="14" spans="1:31" x14ac:dyDescent="0.2">
      <c r="A14" s="1" t="s">
        <v>732</v>
      </c>
      <c r="B14" s="67" t="s">
        <v>46</v>
      </c>
      <c r="C14" s="67" t="s">
        <v>735</v>
      </c>
      <c r="D14" s="67" t="s">
        <v>757</v>
      </c>
      <c r="E14" s="84" t="s">
        <v>433</v>
      </c>
      <c r="F14" s="84" t="s">
        <v>736</v>
      </c>
      <c r="G14" s="84" t="s">
        <v>444</v>
      </c>
      <c r="H14" s="84" t="s">
        <v>732</v>
      </c>
      <c r="I14" s="68">
        <v>5615.9549999999999</v>
      </c>
      <c r="J14" s="24">
        <f t="shared" si="0"/>
        <v>5054.3595000000005</v>
      </c>
      <c r="K14" s="68">
        <v>6239.95</v>
      </c>
      <c r="L14" s="68">
        <v>6239.95</v>
      </c>
      <c r="M14" s="68">
        <v>6239.95</v>
      </c>
      <c r="N14" s="68">
        <v>6239.95</v>
      </c>
      <c r="O14" s="68">
        <v>6239.95</v>
      </c>
      <c r="P14" s="68">
        <v>6239.95</v>
      </c>
      <c r="Q14" s="68">
        <v>6239.95</v>
      </c>
      <c r="R14" s="68">
        <v>6239.95</v>
      </c>
      <c r="S14" s="74">
        <v>6239.95</v>
      </c>
      <c r="T14" s="68">
        <v>5829.95</v>
      </c>
      <c r="U14" s="68">
        <v>5829.95</v>
      </c>
      <c r="V14" s="68">
        <v>5829.95</v>
      </c>
      <c r="W14" s="68">
        <v>5829.95</v>
      </c>
      <c r="X14" s="68">
        <v>5829.95</v>
      </c>
      <c r="Y14" s="68">
        <v>5829.95</v>
      </c>
      <c r="Z14" s="68">
        <v>5829.95</v>
      </c>
      <c r="AA14" s="68"/>
      <c r="AB14" s="24"/>
      <c r="AC14" s="28"/>
    </row>
    <row r="15" spans="1:31" x14ac:dyDescent="0.2">
      <c r="A15" s="1" t="s">
        <v>732</v>
      </c>
      <c r="B15" s="67" t="s">
        <v>845</v>
      </c>
      <c r="C15" s="67" t="s">
        <v>917</v>
      </c>
      <c r="D15" s="67" t="s">
        <v>846</v>
      </c>
      <c r="E15" s="84" t="s">
        <v>433</v>
      </c>
      <c r="F15" s="84" t="s">
        <v>849</v>
      </c>
      <c r="G15" s="84" t="s">
        <v>445</v>
      </c>
      <c r="H15" s="84" t="s">
        <v>732</v>
      </c>
      <c r="I15" s="68">
        <v>269.95499999999998</v>
      </c>
      <c r="J15" s="24">
        <f t="shared" si="0"/>
        <v>242.95949999999999</v>
      </c>
      <c r="K15" s="68">
        <v>299.95</v>
      </c>
      <c r="L15" s="68">
        <v>299.95</v>
      </c>
      <c r="M15" s="68">
        <v>299.95</v>
      </c>
      <c r="N15" s="68">
        <v>299.95</v>
      </c>
      <c r="O15" s="68">
        <v>299.95</v>
      </c>
      <c r="P15" s="68">
        <v>299.95</v>
      </c>
      <c r="Q15" s="68">
        <v>299.95</v>
      </c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75"/>
      <c r="AC15" s="67"/>
      <c r="AD15" s="67"/>
      <c r="AE15" s="67"/>
    </row>
    <row r="16" spans="1:31" x14ac:dyDescent="0.2">
      <c r="A16" s="1" t="s">
        <v>732</v>
      </c>
      <c r="B16" s="67" t="s">
        <v>725</v>
      </c>
      <c r="C16" s="67" t="s">
        <v>758</v>
      </c>
      <c r="D16" s="67" t="s">
        <v>759</v>
      </c>
      <c r="E16" s="84" t="s">
        <v>433</v>
      </c>
      <c r="F16" s="84" t="s">
        <v>760</v>
      </c>
      <c r="G16" s="84" t="s">
        <v>445</v>
      </c>
      <c r="H16" s="84" t="s">
        <v>732</v>
      </c>
      <c r="I16" s="68">
        <v>5102.9549999999999</v>
      </c>
      <c r="J16" s="24">
        <f t="shared" si="0"/>
        <v>4592.6594999999998</v>
      </c>
      <c r="K16" s="68">
        <v>5669.95</v>
      </c>
      <c r="L16" s="68">
        <v>5669.95</v>
      </c>
      <c r="M16" s="68">
        <v>5669.95</v>
      </c>
      <c r="N16" s="68">
        <v>5669.95</v>
      </c>
      <c r="O16" s="68">
        <v>5669.95</v>
      </c>
      <c r="P16" s="68">
        <v>5669.95</v>
      </c>
      <c r="Q16" s="68">
        <v>5669.95</v>
      </c>
      <c r="R16" s="68">
        <v>5669.95</v>
      </c>
      <c r="S16" s="74">
        <v>5669.95</v>
      </c>
      <c r="T16" s="68">
        <v>5299.95</v>
      </c>
      <c r="U16" s="68">
        <v>5299.95</v>
      </c>
      <c r="V16" s="68">
        <v>5299.95</v>
      </c>
      <c r="W16" s="68">
        <v>5299.95</v>
      </c>
      <c r="X16" s="68">
        <v>5299.95</v>
      </c>
      <c r="Y16" s="68">
        <v>5299.95</v>
      </c>
      <c r="Z16" s="68">
        <v>5299.95</v>
      </c>
      <c r="AA16" s="68"/>
      <c r="AB16" s="24"/>
      <c r="AC16" s="28"/>
    </row>
    <row r="17" spans="1:31" s="3" customFormat="1" x14ac:dyDescent="0.2">
      <c r="A17" s="1" t="s">
        <v>732</v>
      </c>
      <c r="B17" s="67" t="s">
        <v>726</v>
      </c>
      <c r="C17" s="67" t="s">
        <v>761</v>
      </c>
      <c r="D17" s="67" t="s">
        <v>762</v>
      </c>
      <c r="E17" s="84" t="s">
        <v>433</v>
      </c>
      <c r="F17" s="84" t="s">
        <v>763</v>
      </c>
      <c r="G17" s="84" t="s">
        <v>445</v>
      </c>
      <c r="H17" s="84" t="s">
        <v>732</v>
      </c>
      <c r="I17" s="68">
        <v>5003.9549999999999</v>
      </c>
      <c r="J17" s="24">
        <f t="shared" si="0"/>
        <v>4503.5595000000003</v>
      </c>
      <c r="K17" s="68">
        <v>5559.95</v>
      </c>
      <c r="L17" s="68">
        <v>5559.95</v>
      </c>
      <c r="M17" s="68">
        <v>5559.95</v>
      </c>
      <c r="N17" s="68">
        <v>5559.95</v>
      </c>
      <c r="O17" s="68">
        <v>5559.95</v>
      </c>
      <c r="P17" s="68">
        <v>5559.95</v>
      </c>
      <c r="Q17" s="68">
        <v>5559.95</v>
      </c>
      <c r="R17" s="68">
        <v>5559.95</v>
      </c>
      <c r="S17" s="74">
        <v>5559.95</v>
      </c>
      <c r="T17" s="68">
        <v>5199.95</v>
      </c>
      <c r="U17" s="68">
        <v>5199.95</v>
      </c>
      <c r="V17" s="68">
        <v>5199.95</v>
      </c>
      <c r="W17" s="68">
        <v>5199.95</v>
      </c>
      <c r="X17" s="68">
        <v>5199.95</v>
      </c>
      <c r="Y17" s="68">
        <v>5199.95</v>
      </c>
      <c r="Z17" s="68">
        <v>5199.95</v>
      </c>
      <c r="AA17" s="68"/>
      <c r="AB17" s="24"/>
      <c r="AC17" s="28"/>
      <c r="AD17" s="1"/>
      <c r="AE17" s="1"/>
    </row>
    <row r="18" spans="1:31" s="3" customFormat="1" x14ac:dyDescent="0.2">
      <c r="A18" s="1" t="s">
        <v>732</v>
      </c>
      <c r="B18" s="67" t="s">
        <v>727</v>
      </c>
      <c r="C18" s="67" t="s">
        <v>764</v>
      </c>
      <c r="D18" s="67" t="s">
        <v>765</v>
      </c>
      <c r="E18" s="84" t="s">
        <v>433</v>
      </c>
      <c r="F18" s="84" t="s">
        <v>766</v>
      </c>
      <c r="G18" s="84" t="s">
        <v>445</v>
      </c>
      <c r="H18" s="84" t="s">
        <v>732</v>
      </c>
      <c r="I18" s="68">
        <v>4328.9549999999999</v>
      </c>
      <c r="J18" s="24">
        <f t="shared" si="0"/>
        <v>3896.0594999999998</v>
      </c>
      <c r="K18" s="68">
        <v>4809.95</v>
      </c>
      <c r="L18" s="68">
        <v>4809.95</v>
      </c>
      <c r="M18" s="68">
        <v>4809.95</v>
      </c>
      <c r="N18" s="68">
        <v>4809.95</v>
      </c>
      <c r="O18" s="68">
        <v>4809.95</v>
      </c>
      <c r="P18" s="68">
        <v>4809.95</v>
      </c>
      <c r="Q18" s="68">
        <v>4809.95</v>
      </c>
      <c r="R18" s="68">
        <v>4809.95</v>
      </c>
      <c r="S18" s="74">
        <v>4809.95</v>
      </c>
      <c r="T18" s="68">
        <v>4499.95</v>
      </c>
      <c r="U18" s="68">
        <v>4499.95</v>
      </c>
      <c r="V18" s="68">
        <v>4499.95</v>
      </c>
      <c r="W18" s="68">
        <v>4499.95</v>
      </c>
      <c r="X18" s="68">
        <v>4499.95</v>
      </c>
      <c r="Y18" s="68">
        <v>4499.95</v>
      </c>
      <c r="Z18" s="68">
        <v>4499.95</v>
      </c>
      <c r="AA18" s="68"/>
      <c r="AB18" s="24"/>
      <c r="AC18" s="28"/>
      <c r="AD18" s="1"/>
      <c r="AE18" s="1"/>
    </row>
    <row r="19" spans="1:31" s="3" customFormat="1" x14ac:dyDescent="0.2">
      <c r="A19" s="1" t="s">
        <v>732</v>
      </c>
      <c r="B19" s="67" t="s">
        <v>728</v>
      </c>
      <c r="C19" s="67" t="s">
        <v>767</v>
      </c>
      <c r="D19" s="67" t="s">
        <v>768</v>
      </c>
      <c r="E19" s="84" t="s">
        <v>433</v>
      </c>
      <c r="F19" s="84" t="s">
        <v>769</v>
      </c>
      <c r="G19" s="84" t="s">
        <v>445</v>
      </c>
      <c r="H19" s="84" t="s">
        <v>732</v>
      </c>
      <c r="I19" s="68">
        <v>6452.9549999999999</v>
      </c>
      <c r="J19" s="24">
        <f t="shared" si="0"/>
        <v>5807.6594999999998</v>
      </c>
      <c r="K19" s="68">
        <v>7169.95</v>
      </c>
      <c r="L19" s="68">
        <v>7169.95</v>
      </c>
      <c r="M19" s="68">
        <v>7169.95</v>
      </c>
      <c r="N19" s="68">
        <v>7169.95</v>
      </c>
      <c r="O19" s="68">
        <v>7169.95</v>
      </c>
      <c r="P19" s="68">
        <v>7169.95</v>
      </c>
      <c r="Q19" s="68">
        <v>7169.95</v>
      </c>
      <c r="R19" s="68">
        <v>7169.95</v>
      </c>
      <c r="S19" s="74">
        <v>7169.95</v>
      </c>
      <c r="T19" s="68">
        <v>6699.95</v>
      </c>
      <c r="U19" s="68">
        <v>6699.95</v>
      </c>
      <c r="V19" s="68">
        <v>6699.95</v>
      </c>
      <c r="W19" s="68">
        <v>6699.95</v>
      </c>
      <c r="X19" s="68">
        <v>6699.95</v>
      </c>
      <c r="Y19" s="68">
        <v>6699.95</v>
      </c>
      <c r="Z19" s="68">
        <v>6699.95</v>
      </c>
      <c r="AA19" s="68"/>
      <c r="AB19" s="24"/>
      <c r="AC19" s="28"/>
      <c r="AD19" s="1"/>
      <c r="AE19" s="1"/>
    </row>
    <row r="20" spans="1:31" s="3" customFormat="1" x14ac:dyDescent="0.2">
      <c r="A20" s="1" t="s">
        <v>732</v>
      </c>
      <c r="B20" s="67" t="s">
        <v>40</v>
      </c>
      <c r="C20" s="67" t="s">
        <v>770</v>
      </c>
      <c r="D20" s="67" t="s">
        <v>771</v>
      </c>
      <c r="E20" s="84" t="s">
        <v>433</v>
      </c>
      <c r="F20" s="84" t="s">
        <v>436</v>
      </c>
      <c r="G20" s="84" t="s">
        <v>443</v>
      </c>
      <c r="H20" s="84" t="s">
        <v>732</v>
      </c>
      <c r="I20" s="68">
        <v>7316.9549999999999</v>
      </c>
      <c r="J20" s="24">
        <f t="shared" si="0"/>
        <v>6585.2595000000001</v>
      </c>
      <c r="K20" s="68">
        <v>8129.95</v>
      </c>
      <c r="L20" s="68">
        <v>8129.95</v>
      </c>
      <c r="M20" s="68">
        <v>8129.95</v>
      </c>
      <c r="N20" s="68">
        <v>8129.95</v>
      </c>
      <c r="O20" s="68">
        <v>8129.95</v>
      </c>
      <c r="P20" s="68">
        <v>8129.95</v>
      </c>
      <c r="Q20" s="68">
        <v>8129.95</v>
      </c>
      <c r="R20" s="68">
        <v>8129.95</v>
      </c>
      <c r="S20" s="74">
        <v>8129.95</v>
      </c>
      <c r="T20" s="68">
        <v>7599.95</v>
      </c>
      <c r="U20" s="68">
        <v>7599.95</v>
      </c>
      <c r="V20" s="68">
        <v>7599.95</v>
      </c>
      <c r="W20" s="68">
        <v>7599.95</v>
      </c>
      <c r="X20" s="68">
        <v>7599.95</v>
      </c>
      <c r="Y20" s="68">
        <v>7599.95</v>
      </c>
      <c r="Z20" s="68">
        <v>7599.95</v>
      </c>
      <c r="AA20" s="68"/>
      <c r="AB20" s="24"/>
      <c r="AC20" s="28"/>
      <c r="AD20" s="1"/>
      <c r="AE20" s="1"/>
    </row>
    <row r="21" spans="1:31" s="3" customFormat="1" x14ac:dyDescent="0.2">
      <c r="A21" s="1" t="s">
        <v>732</v>
      </c>
      <c r="B21" s="67" t="s">
        <v>729</v>
      </c>
      <c r="C21" s="67" t="s">
        <v>772</v>
      </c>
      <c r="D21" s="67" t="s">
        <v>773</v>
      </c>
      <c r="E21" s="84" t="s">
        <v>433</v>
      </c>
      <c r="F21" s="84" t="s">
        <v>774</v>
      </c>
      <c r="G21" s="84" t="s">
        <v>443</v>
      </c>
      <c r="H21" s="84" t="s">
        <v>732</v>
      </c>
      <c r="I21" s="68">
        <v>575.95500000000004</v>
      </c>
      <c r="J21" s="24">
        <f t="shared" si="0"/>
        <v>518.35950000000003</v>
      </c>
      <c r="K21" s="68">
        <v>639.95000000000005</v>
      </c>
      <c r="L21" s="68">
        <v>639.95000000000005</v>
      </c>
      <c r="M21" s="68">
        <v>639.95000000000005</v>
      </c>
      <c r="N21" s="68">
        <v>639.95000000000005</v>
      </c>
      <c r="O21" s="68">
        <v>639.95000000000005</v>
      </c>
      <c r="P21" s="68">
        <v>639.95000000000005</v>
      </c>
      <c r="Q21" s="68">
        <v>639.95000000000005</v>
      </c>
      <c r="R21" s="68">
        <v>639.95000000000005</v>
      </c>
      <c r="S21" s="74">
        <v>639.95000000000005</v>
      </c>
      <c r="T21" s="68">
        <v>599.95000000000005</v>
      </c>
      <c r="U21" s="68">
        <v>599.95000000000005</v>
      </c>
      <c r="V21" s="68">
        <v>599.95000000000005</v>
      </c>
      <c r="W21" s="68">
        <v>599.95000000000005</v>
      </c>
      <c r="X21" s="68">
        <v>599.95000000000005</v>
      </c>
      <c r="Y21" s="68">
        <v>599.95000000000005</v>
      </c>
      <c r="Z21" s="68">
        <v>599.95000000000005</v>
      </c>
      <c r="AA21" s="68"/>
      <c r="AB21" s="24"/>
      <c r="AC21" s="28"/>
      <c r="AD21" s="1"/>
      <c r="AE21" s="1"/>
    </row>
    <row r="22" spans="1:31" x14ac:dyDescent="0.2">
      <c r="A22" s="1" t="s">
        <v>732</v>
      </c>
      <c r="B22" s="67" t="s">
        <v>730</v>
      </c>
      <c r="C22" s="67"/>
      <c r="D22" s="67" t="s">
        <v>775</v>
      </c>
      <c r="E22" s="84" t="s">
        <v>433</v>
      </c>
      <c r="F22" s="84" t="s">
        <v>776</v>
      </c>
      <c r="G22" s="84" t="s">
        <v>445</v>
      </c>
      <c r="H22" s="84" t="s">
        <v>732</v>
      </c>
      <c r="I22" s="68">
        <v>1925.9549999999999</v>
      </c>
      <c r="J22" s="24">
        <f t="shared" si="0"/>
        <v>1733.3595</v>
      </c>
      <c r="K22" s="68">
        <v>2139.9499999999998</v>
      </c>
      <c r="L22" s="68">
        <v>2139.9499999999998</v>
      </c>
      <c r="M22" s="68">
        <v>2139.9499999999998</v>
      </c>
      <c r="N22" s="68">
        <v>2139.9499999999998</v>
      </c>
      <c r="O22" s="68">
        <v>2139.9499999999998</v>
      </c>
      <c r="P22" s="68">
        <v>2139.9499999999998</v>
      </c>
      <c r="Q22" s="68">
        <v>2139.9499999999998</v>
      </c>
      <c r="R22" s="68">
        <v>2139.9499999999998</v>
      </c>
      <c r="S22" s="74">
        <v>2139.9499999999998</v>
      </c>
      <c r="T22" s="68">
        <v>1999.95</v>
      </c>
      <c r="U22" s="68">
        <v>1999.95</v>
      </c>
      <c r="V22" s="68">
        <v>1999.95</v>
      </c>
      <c r="W22" s="68">
        <v>1999.95</v>
      </c>
      <c r="X22" s="68">
        <v>1999.95</v>
      </c>
      <c r="Y22" s="68">
        <v>1999.95</v>
      </c>
      <c r="Z22" s="68">
        <v>1999.95</v>
      </c>
      <c r="AA22" s="68"/>
      <c r="AB22" s="24"/>
      <c r="AC22" s="28"/>
    </row>
    <row r="23" spans="1:31" x14ac:dyDescent="0.2">
      <c r="A23" s="1" t="s">
        <v>732</v>
      </c>
      <c r="B23" s="67" t="s">
        <v>892</v>
      </c>
      <c r="C23" s="67" t="s">
        <v>918</v>
      </c>
      <c r="D23" s="67" t="s">
        <v>919</v>
      </c>
      <c r="E23" s="67" t="s">
        <v>919</v>
      </c>
      <c r="F23" s="67" t="s">
        <v>901</v>
      </c>
      <c r="G23" s="67" t="s">
        <v>445</v>
      </c>
      <c r="H23" s="84" t="s">
        <v>732</v>
      </c>
      <c r="I23" s="68">
        <v>2339.9549999999999</v>
      </c>
      <c r="J23" s="24">
        <f t="shared" si="0"/>
        <v>2105.9594999999999</v>
      </c>
    </row>
    <row r="24" spans="1:31" x14ac:dyDescent="0.2">
      <c r="A24" s="83" t="s">
        <v>913</v>
      </c>
      <c r="B24" s="1" t="s">
        <v>512</v>
      </c>
      <c r="C24" s="1" t="s">
        <v>514</v>
      </c>
      <c r="D24" s="1" t="s">
        <v>516</v>
      </c>
      <c r="E24" s="80" t="s">
        <v>440</v>
      </c>
      <c r="F24" s="80" t="s">
        <v>223</v>
      </c>
      <c r="G24" s="80" t="s">
        <v>912</v>
      </c>
      <c r="H24" s="80" t="s">
        <v>718</v>
      </c>
      <c r="I24" s="24">
        <v>12248.955000000002</v>
      </c>
      <c r="J24" s="24">
        <f t="shared" si="0"/>
        <v>11024.059500000001</v>
      </c>
      <c r="K24" s="24">
        <v>13609.95</v>
      </c>
      <c r="L24" s="24">
        <v>13609.95</v>
      </c>
      <c r="M24" s="24">
        <v>13609.95</v>
      </c>
      <c r="N24" s="24">
        <v>13609.95</v>
      </c>
      <c r="O24" s="24">
        <v>13609.95</v>
      </c>
      <c r="P24" s="24">
        <v>13609.95</v>
      </c>
      <c r="Q24" s="24">
        <v>13609.95</v>
      </c>
      <c r="R24" s="24">
        <v>13609.95</v>
      </c>
      <c r="S24" s="73">
        <v>13609.95</v>
      </c>
      <c r="T24" s="24">
        <v>12719.95</v>
      </c>
      <c r="U24" s="24">
        <v>12719.95</v>
      </c>
      <c r="V24" s="24">
        <v>12719.95</v>
      </c>
      <c r="W24" s="24">
        <v>12719.95</v>
      </c>
      <c r="X24" s="24">
        <v>12719.95</v>
      </c>
      <c r="Y24" s="24">
        <v>12719.95</v>
      </c>
      <c r="Z24" s="24">
        <v>12719.95</v>
      </c>
      <c r="AA24" s="24">
        <v>12719.95</v>
      </c>
      <c r="AB24" s="24"/>
      <c r="AC24" s="28"/>
      <c r="AD24" s="23"/>
    </row>
    <row r="25" spans="1:31" x14ac:dyDescent="0.2">
      <c r="A25" s="83" t="s">
        <v>913</v>
      </c>
      <c r="B25" s="1" t="s">
        <v>72</v>
      </c>
      <c r="C25" s="1" t="s">
        <v>118</v>
      </c>
      <c r="D25" s="1" t="s">
        <v>119</v>
      </c>
      <c r="E25" s="80" t="s">
        <v>440</v>
      </c>
      <c r="F25" s="85" t="s">
        <v>307</v>
      </c>
      <c r="G25" s="80" t="s">
        <v>443</v>
      </c>
      <c r="H25" s="80" t="s">
        <v>718</v>
      </c>
      <c r="I25" s="24">
        <v>1736.9550000000002</v>
      </c>
      <c r="J25" s="24">
        <f t="shared" si="0"/>
        <v>1563.2595000000001</v>
      </c>
      <c r="K25" s="24">
        <v>1929.95</v>
      </c>
      <c r="L25" s="24">
        <v>1929.95</v>
      </c>
      <c r="M25" s="24">
        <v>1929.95</v>
      </c>
      <c r="N25" s="24">
        <v>1929.95</v>
      </c>
      <c r="O25" s="24">
        <v>1929.95</v>
      </c>
      <c r="P25" s="24">
        <v>1929.95</v>
      </c>
      <c r="Q25" s="24">
        <v>1929.95</v>
      </c>
      <c r="R25" s="24">
        <v>1929.95</v>
      </c>
      <c r="S25" s="73">
        <v>1929.95</v>
      </c>
      <c r="T25" s="24">
        <v>1799.95</v>
      </c>
      <c r="U25" s="24">
        <v>1799.95</v>
      </c>
      <c r="V25" s="24">
        <v>1799.95</v>
      </c>
      <c r="W25" s="24">
        <v>1799.95</v>
      </c>
      <c r="X25" s="24">
        <v>1799.95</v>
      </c>
      <c r="Y25" s="24">
        <v>1799.95</v>
      </c>
      <c r="Z25" s="24">
        <v>1799.95</v>
      </c>
      <c r="AA25" s="24">
        <v>1799.95</v>
      </c>
      <c r="AB25" s="24"/>
      <c r="AC25" s="28"/>
      <c r="AD25" s="23"/>
    </row>
    <row r="26" spans="1:31" x14ac:dyDescent="0.2">
      <c r="A26" s="83" t="s">
        <v>913</v>
      </c>
      <c r="B26" s="1" t="s">
        <v>70</v>
      </c>
      <c r="C26" s="1" t="s">
        <v>122</v>
      </c>
      <c r="D26" s="1" t="s">
        <v>123</v>
      </c>
      <c r="E26" s="80" t="s">
        <v>440</v>
      </c>
      <c r="F26" s="85" t="s">
        <v>309</v>
      </c>
      <c r="G26" s="80" t="s">
        <v>443</v>
      </c>
      <c r="H26" s="80" t="s">
        <v>718</v>
      </c>
      <c r="I26" s="24">
        <v>2447.9549999999999</v>
      </c>
      <c r="J26" s="24">
        <f t="shared" si="0"/>
        <v>2203.1595000000002</v>
      </c>
      <c r="K26" s="24">
        <v>2719.95</v>
      </c>
      <c r="L26" s="24">
        <v>2719.95</v>
      </c>
      <c r="M26" s="24">
        <v>2719.95</v>
      </c>
      <c r="N26" s="24">
        <v>2719.95</v>
      </c>
      <c r="O26" s="24">
        <v>2719.95</v>
      </c>
      <c r="P26" s="24">
        <v>2719.95</v>
      </c>
      <c r="Q26" s="24">
        <v>2719.95</v>
      </c>
      <c r="R26" s="24">
        <v>2719.95</v>
      </c>
      <c r="S26" s="73">
        <v>2719.95</v>
      </c>
      <c r="T26" s="24">
        <v>2539.9499999999998</v>
      </c>
      <c r="U26" s="24">
        <v>2539.9499999999998</v>
      </c>
      <c r="V26" s="24">
        <v>2539.9499999999998</v>
      </c>
      <c r="W26" s="24">
        <v>2539.9499999999998</v>
      </c>
      <c r="X26" s="24">
        <v>2539.9499999999998</v>
      </c>
      <c r="Y26" s="24">
        <v>2539.9499999999998</v>
      </c>
      <c r="Z26" s="24">
        <v>2539.9499999999998</v>
      </c>
      <c r="AA26" s="24">
        <v>2539.9499999999998</v>
      </c>
      <c r="AB26" s="24"/>
      <c r="AC26" s="28"/>
      <c r="AD26" s="23"/>
    </row>
    <row r="27" spans="1:31" x14ac:dyDescent="0.2">
      <c r="A27" s="83" t="s">
        <v>913</v>
      </c>
      <c r="B27" s="1" t="s">
        <v>66</v>
      </c>
      <c r="C27" s="1" t="s">
        <v>120</v>
      </c>
      <c r="D27" s="1" t="s">
        <v>121</v>
      </c>
      <c r="E27" s="80" t="s">
        <v>440</v>
      </c>
      <c r="F27" s="85" t="s">
        <v>308</v>
      </c>
      <c r="G27" s="80" t="s">
        <v>443</v>
      </c>
      <c r="H27" s="80" t="s">
        <v>718</v>
      </c>
      <c r="I27" s="24">
        <v>2258.9549999999999</v>
      </c>
      <c r="J27" s="24">
        <f t="shared" si="0"/>
        <v>2033.0595000000001</v>
      </c>
      <c r="K27" s="24">
        <v>2509.9499999999998</v>
      </c>
      <c r="L27" s="24">
        <v>2509.9499999999998</v>
      </c>
      <c r="M27" s="24">
        <v>2509.9499999999998</v>
      </c>
      <c r="N27" s="24">
        <v>2509.9499999999998</v>
      </c>
      <c r="O27" s="24">
        <v>2509.9499999999998</v>
      </c>
      <c r="P27" s="24">
        <v>2509.9499999999998</v>
      </c>
      <c r="Q27" s="24">
        <v>2509.9499999999998</v>
      </c>
      <c r="R27" s="24">
        <v>2509.9499999999998</v>
      </c>
      <c r="S27" s="73">
        <v>2509.9499999999998</v>
      </c>
      <c r="T27" s="24">
        <v>2349.9499999999998</v>
      </c>
      <c r="U27" s="24">
        <v>2349.9499999999998</v>
      </c>
      <c r="V27" s="24">
        <v>2349.9499999999998</v>
      </c>
      <c r="W27" s="24">
        <v>2349.9499999999998</v>
      </c>
      <c r="X27" s="24">
        <v>2349.9499999999998</v>
      </c>
      <c r="Y27" s="24">
        <v>2349.9499999999998</v>
      </c>
      <c r="Z27" s="24">
        <v>2349.9499999999998</v>
      </c>
      <c r="AA27" s="24">
        <v>2349.9499999999998</v>
      </c>
      <c r="AB27" s="24"/>
      <c r="AC27" s="28"/>
      <c r="AD27" s="23"/>
    </row>
    <row r="28" spans="1:31" x14ac:dyDescent="0.2">
      <c r="A28" s="83" t="s">
        <v>913</v>
      </c>
      <c r="B28" s="1" t="s">
        <v>68</v>
      </c>
      <c r="C28" s="1" t="s">
        <v>124</v>
      </c>
      <c r="D28" s="1" t="s">
        <v>125</v>
      </c>
      <c r="E28" s="80" t="s">
        <v>440</v>
      </c>
      <c r="F28" s="85" t="s">
        <v>310</v>
      </c>
      <c r="G28" s="80" t="s">
        <v>443</v>
      </c>
      <c r="H28" s="80" t="s">
        <v>718</v>
      </c>
      <c r="I28" s="24">
        <v>2798.9549999999999</v>
      </c>
      <c r="J28" s="24">
        <f t="shared" si="0"/>
        <v>2519.0594999999998</v>
      </c>
      <c r="K28" s="24">
        <v>3109.95</v>
      </c>
      <c r="L28" s="24">
        <v>3109.95</v>
      </c>
      <c r="M28" s="24">
        <v>3109.95</v>
      </c>
      <c r="N28" s="24">
        <v>3109.95</v>
      </c>
      <c r="O28" s="24">
        <v>3109.95</v>
      </c>
      <c r="P28" s="24">
        <v>3109.95</v>
      </c>
      <c r="Q28" s="24">
        <v>3109.95</v>
      </c>
      <c r="R28" s="24">
        <v>3109.95</v>
      </c>
      <c r="S28" s="73">
        <v>3109.95</v>
      </c>
      <c r="T28" s="24">
        <v>2909.95</v>
      </c>
      <c r="U28" s="24">
        <v>2909.95</v>
      </c>
      <c r="V28" s="24">
        <v>2909.95</v>
      </c>
      <c r="W28" s="24">
        <v>2909.95</v>
      </c>
      <c r="X28" s="24">
        <v>2909.95</v>
      </c>
      <c r="Y28" s="24">
        <v>2909.95</v>
      </c>
      <c r="Z28" s="24">
        <v>2909.95</v>
      </c>
      <c r="AA28" s="24">
        <v>2909.95</v>
      </c>
      <c r="AB28" s="24"/>
      <c r="AC28" s="28"/>
      <c r="AD28" s="23"/>
    </row>
    <row r="29" spans="1:31" x14ac:dyDescent="0.2">
      <c r="A29" s="83" t="s">
        <v>913</v>
      </c>
      <c r="B29" s="1" t="s">
        <v>62</v>
      </c>
      <c r="C29" s="1" t="s">
        <v>126</v>
      </c>
      <c r="D29" s="1" t="s">
        <v>127</v>
      </c>
      <c r="E29" s="80" t="s">
        <v>440</v>
      </c>
      <c r="F29" s="85" t="s">
        <v>311</v>
      </c>
      <c r="G29" s="80" t="s">
        <v>443</v>
      </c>
      <c r="H29" s="80" t="s">
        <v>718</v>
      </c>
      <c r="I29" s="24">
        <v>3059.9549999999999</v>
      </c>
      <c r="J29" s="24">
        <f t="shared" si="0"/>
        <v>2753.9594999999999</v>
      </c>
      <c r="K29" s="24">
        <v>3399.95</v>
      </c>
      <c r="L29" s="24">
        <v>3399.95</v>
      </c>
      <c r="M29" s="24">
        <v>3399.95</v>
      </c>
      <c r="N29" s="24">
        <v>3399.95</v>
      </c>
      <c r="O29" s="24">
        <v>3399.95</v>
      </c>
      <c r="P29" s="24">
        <v>3399.95</v>
      </c>
      <c r="Q29" s="24">
        <v>3399.95</v>
      </c>
      <c r="R29" s="24">
        <v>3399.95</v>
      </c>
      <c r="S29" s="73">
        <v>3399.95</v>
      </c>
      <c r="T29" s="24">
        <v>3179.95</v>
      </c>
      <c r="U29" s="24">
        <v>3179.95</v>
      </c>
      <c r="V29" s="24">
        <v>3179.95</v>
      </c>
      <c r="W29" s="24">
        <v>3179.95</v>
      </c>
      <c r="X29" s="24">
        <v>3179.95</v>
      </c>
      <c r="Y29" s="24">
        <v>3179.95</v>
      </c>
      <c r="Z29" s="24">
        <v>3179.95</v>
      </c>
      <c r="AA29" s="24">
        <v>3179.95</v>
      </c>
      <c r="AB29" s="24"/>
      <c r="AC29" s="28"/>
      <c r="AD29" s="23"/>
    </row>
    <row r="30" spans="1:31" x14ac:dyDescent="0.2">
      <c r="A30" s="83" t="s">
        <v>913</v>
      </c>
      <c r="B30" s="1" t="s">
        <v>64</v>
      </c>
      <c r="C30" s="1" t="s">
        <v>128</v>
      </c>
      <c r="D30" s="1" t="s">
        <v>129</v>
      </c>
      <c r="E30" s="80" t="s">
        <v>440</v>
      </c>
      <c r="F30" s="85" t="s">
        <v>312</v>
      </c>
      <c r="G30" s="80" t="s">
        <v>443</v>
      </c>
      <c r="H30" s="80" t="s">
        <v>718</v>
      </c>
      <c r="I30" s="24">
        <v>3680.9549999999999</v>
      </c>
      <c r="J30" s="24">
        <f t="shared" si="0"/>
        <v>3312.8595</v>
      </c>
      <c r="K30" s="24">
        <v>4089.95</v>
      </c>
      <c r="L30" s="24">
        <v>4089.95</v>
      </c>
      <c r="M30" s="24">
        <v>4089.95</v>
      </c>
      <c r="N30" s="24">
        <v>4089.95</v>
      </c>
      <c r="O30" s="24">
        <v>4089.95</v>
      </c>
      <c r="P30" s="24">
        <v>4089.95</v>
      </c>
      <c r="Q30" s="24">
        <v>4089.95</v>
      </c>
      <c r="R30" s="24">
        <v>4089.95</v>
      </c>
      <c r="S30" s="73">
        <v>4089.95</v>
      </c>
      <c r="T30" s="24">
        <v>3819.95</v>
      </c>
      <c r="U30" s="24">
        <v>3819.95</v>
      </c>
      <c r="V30" s="24">
        <v>3819.95</v>
      </c>
      <c r="W30" s="24">
        <v>3819.95</v>
      </c>
      <c r="X30" s="24">
        <v>3819.95</v>
      </c>
      <c r="Y30" s="24">
        <v>3819.95</v>
      </c>
      <c r="Z30" s="24">
        <v>3819.95</v>
      </c>
      <c r="AA30" s="24">
        <v>3819.95</v>
      </c>
      <c r="AB30" s="24"/>
      <c r="AC30" s="28"/>
      <c r="AD30" s="23"/>
    </row>
    <row r="31" spans="1:31" x14ac:dyDescent="0.2">
      <c r="A31" s="83" t="s">
        <v>913</v>
      </c>
      <c r="B31" s="1" t="s">
        <v>74</v>
      </c>
      <c r="C31" s="1" t="s">
        <v>130</v>
      </c>
      <c r="D31" s="1" t="s">
        <v>131</v>
      </c>
      <c r="E31" s="80" t="s">
        <v>440</v>
      </c>
      <c r="F31" s="85" t="s">
        <v>320</v>
      </c>
      <c r="G31" s="80" t="s">
        <v>443</v>
      </c>
      <c r="H31" s="80" t="s">
        <v>718</v>
      </c>
      <c r="I31" s="24">
        <v>3680.9549999999999</v>
      </c>
      <c r="J31" s="24">
        <f t="shared" si="0"/>
        <v>3312.8595</v>
      </c>
      <c r="K31" s="24">
        <v>4089.95</v>
      </c>
      <c r="L31" s="24">
        <v>4089.95</v>
      </c>
      <c r="M31" s="24">
        <v>4089.95</v>
      </c>
      <c r="N31" s="24">
        <v>4089.95</v>
      </c>
      <c r="O31" s="24">
        <v>4089.95</v>
      </c>
      <c r="P31" s="24">
        <v>4089.95</v>
      </c>
      <c r="Q31" s="24">
        <v>4089.95</v>
      </c>
      <c r="R31" s="24">
        <v>4089.95</v>
      </c>
      <c r="S31" s="73">
        <v>4089.95</v>
      </c>
      <c r="T31" s="24">
        <v>3819.95</v>
      </c>
      <c r="U31" s="24">
        <v>3819.95</v>
      </c>
      <c r="V31" s="24">
        <v>3819.95</v>
      </c>
      <c r="W31" s="24">
        <v>3819.95</v>
      </c>
      <c r="X31" s="24">
        <v>3819.95</v>
      </c>
      <c r="Y31" s="24">
        <v>3819.95</v>
      </c>
      <c r="Z31" s="24">
        <v>3819.95</v>
      </c>
      <c r="AA31" s="24">
        <v>3819.95</v>
      </c>
      <c r="AB31" s="24"/>
      <c r="AC31" s="28"/>
      <c r="AD31" s="23"/>
    </row>
    <row r="32" spans="1:31" x14ac:dyDescent="0.2">
      <c r="A32" s="83" t="s">
        <v>913</v>
      </c>
      <c r="B32" s="1" t="s">
        <v>80</v>
      </c>
      <c r="C32" s="1" t="s">
        <v>275</v>
      </c>
      <c r="D32" s="1" t="s">
        <v>132</v>
      </c>
      <c r="E32" s="80" t="s">
        <v>440</v>
      </c>
      <c r="F32" s="85" t="s">
        <v>322</v>
      </c>
      <c r="G32" s="80" t="s">
        <v>443</v>
      </c>
      <c r="H32" s="80" t="s">
        <v>718</v>
      </c>
      <c r="I32" s="24">
        <v>8477.9550000000017</v>
      </c>
      <c r="J32" s="24">
        <f t="shared" si="0"/>
        <v>7630.1595000000016</v>
      </c>
      <c r="K32" s="24">
        <v>9419.9500000000007</v>
      </c>
      <c r="L32" s="24">
        <v>9419.9500000000007</v>
      </c>
      <c r="M32" s="24">
        <v>9419.9500000000007</v>
      </c>
      <c r="N32" s="24">
        <v>9419.9500000000007</v>
      </c>
      <c r="O32" s="24">
        <v>9419.9500000000007</v>
      </c>
      <c r="P32" s="24">
        <v>9419.9500000000007</v>
      </c>
      <c r="Q32" s="24">
        <v>9419.9500000000007</v>
      </c>
      <c r="R32" s="24">
        <v>9419.9500000000007</v>
      </c>
      <c r="S32" s="73">
        <v>9419.9500000000007</v>
      </c>
      <c r="T32" s="24">
        <v>8799.9500000000007</v>
      </c>
      <c r="U32" s="24">
        <v>8799.9500000000007</v>
      </c>
      <c r="V32" s="24">
        <v>8799.9500000000007</v>
      </c>
      <c r="W32" s="24">
        <v>8799.9500000000007</v>
      </c>
      <c r="X32" s="24">
        <v>8799.9500000000007</v>
      </c>
      <c r="Y32" s="24">
        <v>8799.9500000000007</v>
      </c>
      <c r="Z32" s="24">
        <v>8799.9500000000007</v>
      </c>
      <c r="AA32" s="24">
        <v>8799.9500000000007</v>
      </c>
      <c r="AB32" s="24"/>
      <c r="AC32" s="28"/>
      <c r="AD32" s="23"/>
    </row>
    <row r="33" spans="1:31" x14ac:dyDescent="0.2">
      <c r="A33" s="83" t="s">
        <v>913</v>
      </c>
      <c r="B33" s="1" t="s">
        <v>272</v>
      </c>
      <c r="C33" s="1" t="s">
        <v>579</v>
      </c>
      <c r="D33" s="1" t="s">
        <v>271</v>
      </c>
      <c r="E33" s="80" t="s">
        <v>440</v>
      </c>
      <c r="F33" s="80" t="s">
        <v>693</v>
      </c>
      <c r="G33" s="80" t="s">
        <v>443</v>
      </c>
      <c r="H33" s="80" t="s">
        <v>718</v>
      </c>
      <c r="I33" s="24">
        <v>1736.9550000000002</v>
      </c>
      <c r="J33" s="24">
        <f t="shared" si="0"/>
        <v>1563.2595000000001</v>
      </c>
      <c r="K33" s="24">
        <v>1929.95</v>
      </c>
      <c r="L33" s="24">
        <v>1929.95</v>
      </c>
      <c r="M33" s="24">
        <v>1929.95</v>
      </c>
      <c r="N33" s="24">
        <v>1929.95</v>
      </c>
      <c r="O33" s="24">
        <v>1929.95</v>
      </c>
      <c r="P33" s="24">
        <v>1929.95</v>
      </c>
      <c r="Q33" s="24">
        <v>1929.95</v>
      </c>
      <c r="R33" s="24">
        <v>1929.95</v>
      </c>
      <c r="S33" s="73">
        <v>1929.95</v>
      </c>
      <c r="T33" s="24">
        <v>1799.95</v>
      </c>
      <c r="U33" s="24">
        <v>1799.95</v>
      </c>
      <c r="V33" s="24">
        <v>1799.95</v>
      </c>
      <c r="W33" s="24">
        <v>1799.95</v>
      </c>
      <c r="X33" s="24">
        <v>1799.95</v>
      </c>
      <c r="Y33" s="24">
        <v>1799.95</v>
      </c>
      <c r="Z33" s="24">
        <v>1799.95</v>
      </c>
      <c r="AA33" s="24">
        <v>1799.95</v>
      </c>
      <c r="AB33" s="24"/>
      <c r="AC33" s="28"/>
      <c r="AD33" s="23"/>
    </row>
    <row r="34" spans="1:31" x14ac:dyDescent="0.2">
      <c r="A34" s="83" t="s">
        <v>913</v>
      </c>
      <c r="B34" s="1" t="s">
        <v>477</v>
      </c>
      <c r="C34" s="1" t="s">
        <v>559</v>
      </c>
      <c r="D34" s="1" t="s">
        <v>494</v>
      </c>
      <c r="E34" s="80" t="s">
        <v>440</v>
      </c>
      <c r="F34" s="80" t="s">
        <v>612</v>
      </c>
      <c r="G34" s="80" t="s">
        <v>443</v>
      </c>
      <c r="H34" s="80" t="s">
        <v>718</v>
      </c>
      <c r="I34" s="24">
        <v>4715.9549999999999</v>
      </c>
      <c r="J34" s="24">
        <f t="shared" si="0"/>
        <v>4244.3595000000005</v>
      </c>
      <c r="K34" s="24">
        <v>5239.95</v>
      </c>
      <c r="L34" s="24">
        <v>5239.95</v>
      </c>
      <c r="M34" s="24">
        <v>5239.95</v>
      </c>
      <c r="N34" s="24">
        <v>5239.95</v>
      </c>
      <c r="O34" s="24">
        <v>5239.95</v>
      </c>
      <c r="P34" s="24">
        <v>5239.95</v>
      </c>
      <c r="Q34" s="24">
        <v>5239.95</v>
      </c>
      <c r="R34" s="24">
        <v>5239.95</v>
      </c>
      <c r="S34" s="73">
        <v>5239.95</v>
      </c>
      <c r="T34" s="24">
        <v>4899.95</v>
      </c>
      <c r="U34" s="24">
        <v>4899.95</v>
      </c>
      <c r="V34" s="24">
        <v>4899.95</v>
      </c>
      <c r="W34" s="24">
        <v>4899.95</v>
      </c>
      <c r="X34" s="24">
        <v>4899.95</v>
      </c>
      <c r="Y34" s="24">
        <v>4899.95</v>
      </c>
      <c r="Z34" s="24">
        <v>4899.95</v>
      </c>
      <c r="AA34" s="24">
        <v>4899.95</v>
      </c>
      <c r="AB34" s="24"/>
      <c r="AC34" s="28"/>
      <c r="AD34" s="23"/>
    </row>
    <row r="35" spans="1:31" x14ac:dyDescent="0.2">
      <c r="A35" s="83" t="s">
        <v>913</v>
      </c>
      <c r="B35" s="1" t="s">
        <v>367</v>
      </c>
      <c r="C35" s="1" t="s">
        <v>395</v>
      </c>
      <c r="D35" s="1" t="s">
        <v>394</v>
      </c>
      <c r="E35" s="80" t="s">
        <v>440</v>
      </c>
      <c r="F35" s="80" t="s">
        <v>695</v>
      </c>
      <c r="G35" s="80" t="s">
        <v>443</v>
      </c>
      <c r="H35" s="80" t="s">
        <v>718</v>
      </c>
      <c r="I35" s="24">
        <v>1439.9550000000002</v>
      </c>
      <c r="J35" s="24">
        <f t="shared" si="0"/>
        <v>1295.9595000000002</v>
      </c>
      <c r="K35" s="24">
        <v>1599.95</v>
      </c>
      <c r="L35" s="24">
        <v>1599.95</v>
      </c>
      <c r="M35" s="24">
        <v>1599.95</v>
      </c>
      <c r="N35" s="24">
        <v>1599.95</v>
      </c>
      <c r="O35" s="24">
        <v>1599.95</v>
      </c>
      <c r="P35" s="24">
        <v>1599.95</v>
      </c>
      <c r="Q35" s="24">
        <v>1599.95</v>
      </c>
      <c r="R35" s="24">
        <v>1599.95</v>
      </c>
      <c r="S35" s="73">
        <v>1599.95</v>
      </c>
      <c r="T35" s="24">
        <v>1499.95</v>
      </c>
      <c r="U35" s="24">
        <v>1499.95</v>
      </c>
      <c r="V35" s="24">
        <v>1499.95</v>
      </c>
      <c r="W35" s="24">
        <v>1499.95</v>
      </c>
      <c r="X35" s="24">
        <v>1499.95</v>
      </c>
      <c r="Y35" s="24">
        <v>1499.95</v>
      </c>
      <c r="Z35" s="24">
        <v>1499.95</v>
      </c>
      <c r="AA35" s="24">
        <v>1469.95</v>
      </c>
      <c r="AB35" s="24"/>
      <c r="AC35" s="28"/>
      <c r="AD35" s="23"/>
    </row>
    <row r="36" spans="1:31" x14ac:dyDescent="0.2">
      <c r="A36" s="83" t="s">
        <v>913</v>
      </c>
      <c r="B36" s="1" t="s">
        <v>476</v>
      </c>
      <c r="C36" s="1" t="s">
        <v>547</v>
      </c>
      <c r="D36" s="1" t="s">
        <v>495</v>
      </c>
      <c r="E36" s="80" t="s">
        <v>440</v>
      </c>
      <c r="F36" s="80" t="s">
        <v>566</v>
      </c>
      <c r="G36" s="80" t="s">
        <v>443</v>
      </c>
      <c r="H36" s="80" t="s">
        <v>718</v>
      </c>
      <c r="I36" s="24">
        <v>4859.9549999999999</v>
      </c>
      <c r="J36" s="24">
        <f t="shared" si="0"/>
        <v>4373.9594999999999</v>
      </c>
      <c r="K36" s="24">
        <v>5399.95</v>
      </c>
      <c r="L36" s="24">
        <v>5399.95</v>
      </c>
      <c r="M36" s="24">
        <v>5399.95</v>
      </c>
      <c r="N36" s="24">
        <v>5399.95</v>
      </c>
      <c r="O36" s="24">
        <v>5399.95</v>
      </c>
      <c r="P36" s="24">
        <v>5399.95</v>
      </c>
      <c r="Q36" s="24">
        <v>5399.95</v>
      </c>
      <c r="R36" s="24">
        <v>5399.95</v>
      </c>
      <c r="S36" s="73">
        <v>5399.95</v>
      </c>
      <c r="T36" s="24">
        <v>5099.95</v>
      </c>
      <c r="U36" s="24">
        <v>5099.95</v>
      </c>
      <c r="V36" s="24">
        <v>5099.95</v>
      </c>
      <c r="W36" s="24">
        <v>5099.95</v>
      </c>
      <c r="X36" s="24">
        <v>5099.95</v>
      </c>
      <c r="Y36" s="24">
        <v>5099.95</v>
      </c>
      <c r="Z36" s="24">
        <v>5099.95</v>
      </c>
      <c r="AA36" s="24">
        <v>4879.95</v>
      </c>
      <c r="AB36" s="24"/>
      <c r="AC36" s="28"/>
      <c r="AD36" s="23"/>
    </row>
    <row r="37" spans="1:31" x14ac:dyDescent="0.2">
      <c r="A37" s="83" t="s">
        <v>913</v>
      </c>
      <c r="B37" s="1" t="s">
        <v>81</v>
      </c>
      <c r="C37" s="1" t="s">
        <v>134</v>
      </c>
      <c r="D37" s="1" t="s">
        <v>135</v>
      </c>
      <c r="E37" s="80" t="s">
        <v>433</v>
      </c>
      <c r="F37" s="85" t="s">
        <v>324</v>
      </c>
      <c r="G37" s="80" t="s">
        <v>443</v>
      </c>
      <c r="H37" s="80" t="s">
        <v>782</v>
      </c>
      <c r="I37" s="24">
        <v>989.95500000000004</v>
      </c>
      <c r="J37" s="24">
        <f t="shared" si="0"/>
        <v>890.95950000000005</v>
      </c>
      <c r="K37" s="24">
        <v>1099.95</v>
      </c>
      <c r="L37" s="24">
        <v>1099.95</v>
      </c>
      <c r="M37" s="24">
        <v>1099.95</v>
      </c>
      <c r="N37" s="24">
        <v>1099.95</v>
      </c>
      <c r="O37" s="24">
        <v>1099.95</v>
      </c>
      <c r="P37" s="24">
        <v>1099.95</v>
      </c>
      <c r="Q37" s="24">
        <v>1099.95</v>
      </c>
      <c r="R37" s="24">
        <v>1099.95</v>
      </c>
      <c r="S37" s="73">
        <v>1099.95</v>
      </c>
      <c r="T37" s="24">
        <v>1069.95</v>
      </c>
      <c r="U37" s="24">
        <v>1069.95</v>
      </c>
      <c r="V37" s="24">
        <v>1069.95</v>
      </c>
      <c r="W37" s="24">
        <v>1069.95</v>
      </c>
      <c r="X37" s="24">
        <v>1069.95</v>
      </c>
      <c r="Y37" s="24">
        <v>1069.95</v>
      </c>
      <c r="Z37" s="24">
        <v>1069.95</v>
      </c>
      <c r="AA37" s="24">
        <v>1069.95</v>
      </c>
      <c r="AB37" s="24"/>
      <c r="AC37" s="28"/>
      <c r="AD37" s="23"/>
    </row>
    <row r="38" spans="1:31" s="3" customFormat="1" x14ac:dyDescent="0.2">
      <c r="A38" s="83" t="s">
        <v>913</v>
      </c>
      <c r="B38" s="1" t="s">
        <v>82</v>
      </c>
      <c r="C38" s="1" t="s">
        <v>136</v>
      </c>
      <c r="D38" s="1" t="s">
        <v>137</v>
      </c>
      <c r="E38" s="80" t="s">
        <v>440</v>
      </c>
      <c r="F38" s="80" t="s">
        <v>694</v>
      </c>
      <c r="G38" s="80" t="s">
        <v>443</v>
      </c>
      <c r="H38" s="80" t="s">
        <v>718</v>
      </c>
      <c r="I38" s="24">
        <v>1574.9550000000002</v>
      </c>
      <c r="J38" s="24">
        <f t="shared" si="0"/>
        <v>1417.4595000000002</v>
      </c>
      <c r="K38" s="24">
        <v>1749.95</v>
      </c>
      <c r="L38" s="24">
        <v>1749.95</v>
      </c>
      <c r="M38" s="24">
        <v>1749.95</v>
      </c>
      <c r="N38" s="24">
        <v>1749.95</v>
      </c>
      <c r="O38" s="24">
        <v>1749.95</v>
      </c>
      <c r="P38" s="24">
        <v>1749.95</v>
      </c>
      <c r="Q38" s="24">
        <v>1749.95</v>
      </c>
      <c r="R38" s="24">
        <v>1749.95</v>
      </c>
      <c r="S38" s="73">
        <v>1749.95</v>
      </c>
      <c r="T38" s="24">
        <v>1699.95</v>
      </c>
      <c r="U38" s="24">
        <v>1699.95</v>
      </c>
      <c r="V38" s="24">
        <v>1699.95</v>
      </c>
      <c r="W38" s="24">
        <v>1699.95</v>
      </c>
      <c r="X38" s="24">
        <v>1699.95</v>
      </c>
      <c r="Y38" s="24">
        <v>1699.95</v>
      </c>
      <c r="Z38" s="24">
        <v>1699.95</v>
      </c>
      <c r="AA38" s="24">
        <v>1659.95</v>
      </c>
      <c r="AB38" s="24"/>
      <c r="AC38" s="28"/>
      <c r="AD38" s="23"/>
      <c r="AE38" s="1"/>
    </row>
    <row r="39" spans="1:31" s="3" customFormat="1" x14ac:dyDescent="0.2">
      <c r="A39" s="83" t="s">
        <v>913</v>
      </c>
      <c r="B39" s="1" t="s">
        <v>889</v>
      </c>
      <c r="C39" s="1"/>
      <c r="D39" s="1" t="s">
        <v>914</v>
      </c>
      <c r="E39" s="80" t="s">
        <v>440</v>
      </c>
      <c r="F39" s="80" t="s">
        <v>223</v>
      </c>
      <c r="G39" s="80" t="s">
        <v>443</v>
      </c>
      <c r="H39" s="80" t="s">
        <v>718</v>
      </c>
      <c r="I39" s="24">
        <v>1574.9550000000002</v>
      </c>
      <c r="J39" s="24">
        <f t="shared" si="0"/>
        <v>1417.4595000000002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65"/>
      <c r="AC39" s="1"/>
      <c r="AD39" s="1"/>
      <c r="AE39" s="1"/>
    </row>
    <row r="40" spans="1:31" s="3" customFormat="1" x14ac:dyDescent="0.2">
      <c r="A40" s="83" t="s">
        <v>913</v>
      </c>
      <c r="B40" s="1" t="s">
        <v>83</v>
      </c>
      <c r="C40" s="1" t="s">
        <v>138</v>
      </c>
      <c r="D40" s="1" t="s">
        <v>139</v>
      </c>
      <c r="E40" s="80" t="s">
        <v>440</v>
      </c>
      <c r="F40" s="85" t="s">
        <v>357</v>
      </c>
      <c r="G40" s="80" t="s">
        <v>443</v>
      </c>
      <c r="H40" s="80" t="s">
        <v>718</v>
      </c>
      <c r="I40" s="24">
        <v>863.95500000000004</v>
      </c>
      <c r="J40" s="24">
        <f t="shared" si="0"/>
        <v>777.55950000000007</v>
      </c>
      <c r="K40" s="24">
        <v>959.95</v>
      </c>
      <c r="L40" s="24">
        <v>959.95</v>
      </c>
      <c r="M40" s="24">
        <v>959.95</v>
      </c>
      <c r="N40" s="24">
        <v>959.95</v>
      </c>
      <c r="O40" s="24">
        <v>959.95</v>
      </c>
      <c r="P40" s="24">
        <v>959.95</v>
      </c>
      <c r="Q40" s="24">
        <v>959.95</v>
      </c>
      <c r="R40" s="24">
        <v>959.95</v>
      </c>
      <c r="S40" s="73">
        <v>959.95</v>
      </c>
      <c r="T40" s="24">
        <v>899.95</v>
      </c>
      <c r="U40" s="24">
        <v>899.95</v>
      </c>
      <c r="V40" s="24">
        <v>899.95</v>
      </c>
      <c r="W40" s="24">
        <v>899.95</v>
      </c>
      <c r="X40" s="24">
        <v>899.95</v>
      </c>
      <c r="Y40" s="24">
        <v>899.95</v>
      </c>
      <c r="Z40" s="24">
        <v>899.95</v>
      </c>
      <c r="AA40" s="24">
        <v>899.95</v>
      </c>
      <c r="AB40" s="24"/>
      <c r="AC40" s="28"/>
      <c r="AD40" s="23"/>
      <c r="AE40" s="1"/>
    </row>
    <row r="41" spans="1:31" s="3" customFormat="1" x14ac:dyDescent="0.2">
      <c r="A41" s="83" t="s">
        <v>913</v>
      </c>
      <c r="B41" s="1" t="s">
        <v>478</v>
      </c>
      <c r="C41" s="1" t="s">
        <v>560</v>
      </c>
      <c r="D41" s="1" t="s">
        <v>493</v>
      </c>
      <c r="E41" s="80" t="s">
        <v>440</v>
      </c>
      <c r="F41" s="80" t="s">
        <v>223</v>
      </c>
      <c r="G41" s="80" t="s">
        <v>912</v>
      </c>
      <c r="H41" s="80" t="s">
        <v>718</v>
      </c>
      <c r="I41" s="24">
        <v>6740.9549999999999</v>
      </c>
      <c r="J41" s="24">
        <f t="shared" si="0"/>
        <v>6066.8595000000005</v>
      </c>
      <c r="K41" s="24">
        <v>7489.95</v>
      </c>
      <c r="L41" s="24">
        <v>7489.95</v>
      </c>
      <c r="M41" s="24">
        <v>7489.95</v>
      </c>
      <c r="N41" s="24">
        <v>7489.95</v>
      </c>
      <c r="O41" s="24">
        <v>7489.95</v>
      </c>
      <c r="P41" s="24">
        <v>7489.95</v>
      </c>
      <c r="Q41" s="24">
        <v>7489.95</v>
      </c>
      <c r="R41" s="24">
        <v>7489.95</v>
      </c>
      <c r="S41" s="73">
        <v>7489.95</v>
      </c>
      <c r="T41" s="24">
        <v>6999.95</v>
      </c>
      <c r="U41" s="24">
        <v>6999.95</v>
      </c>
      <c r="V41" s="24">
        <v>6999.95</v>
      </c>
      <c r="W41" s="24">
        <v>6999.95</v>
      </c>
      <c r="X41" s="24">
        <v>6999.95</v>
      </c>
      <c r="Y41" s="24">
        <v>6999.95</v>
      </c>
      <c r="Z41" s="24">
        <v>6999.95</v>
      </c>
      <c r="AA41" s="24">
        <v>6999.95</v>
      </c>
      <c r="AB41" s="24"/>
      <c r="AC41" s="28"/>
      <c r="AD41" s="23"/>
      <c r="AE41" s="1"/>
    </row>
    <row r="42" spans="1:31" x14ac:dyDescent="0.2">
      <c r="A42" s="83" t="s">
        <v>913</v>
      </c>
      <c r="B42" s="1" t="s">
        <v>487</v>
      </c>
      <c r="C42" s="1" t="s">
        <v>851</v>
      </c>
      <c r="D42" s="1" t="s">
        <v>703</v>
      </c>
      <c r="E42" s="80" t="s">
        <v>440</v>
      </c>
      <c r="F42" s="80" t="s">
        <v>854</v>
      </c>
      <c r="G42" s="80" t="s">
        <v>443</v>
      </c>
      <c r="H42" s="80" t="s">
        <v>718</v>
      </c>
      <c r="I42" s="24">
        <v>584.95500000000004</v>
      </c>
      <c r="J42" s="24">
        <f t="shared" si="0"/>
        <v>526.45950000000005</v>
      </c>
      <c r="K42" s="24">
        <v>649.95000000000005</v>
      </c>
      <c r="L42" s="24">
        <v>649.95000000000005</v>
      </c>
      <c r="M42" s="24">
        <v>649.95000000000005</v>
      </c>
      <c r="N42" s="24">
        <v>649.95000000000005</v>
      </c>
      <c r="O42" s="24">
        <v>649.95000000000005</v>
      </c>
      <c r="P42" s="24">
        <v>649.95000000000005</v>
      </c>
      <c r="Q42" s="24">
        <v>649.95000000000005</v>
      </c>
      <c r="R42" s="24">
        <v>649.95000000000005</v>
      </c>
      <c r="S42" s="73">
        <v>649.95000000000005</v>
      </c>
      <c r="T42" s="24">
        <v>609.95000000000005</v>
      </c>
      <c r="U42" s="24">
        <v>609.95000000000005</v>
      </c>
      <c r="V42" s="24">
        <v>609.95000000000005</v>
      </c>
      <c r="W42" s="24" t="s">
        <v>41</v>
      </c>
      <c r="X42" s="24" t="s">
        <v>41</v>
      </c>
      <c r="Y42" s="24" t="s">
        <v>41</v>
      </c>
      <c r="Z42" s="24" t="s">
        <v>41</v>
      </c>
      <c r="AA42" s="24" t="s">
        <v>41</v>
      </c>
      <c r="AB42" s="24"/>
      <c r="AC42" s="28"/>
      <c r="AD42" s="23"/>
    </row>
    <row r="43" spans="1:31" x14ac:dyDescent="0.2">
      <c r="A43" s="83" t="s">
        <v>913</v>
      </c>
      <c r="B43" s="1" t="s">
        <v>485</v>
      </c>
      <c r="D43" s="1" t="s">
        <v>704</v>
      </c>
      <c r="E43" s="80" t="s">
        <v>440</v>
      </c>
      <c r="F43" s="80" t="s">
        <v>855</v>
      </c>
      <c r="G43" s="80" t="s">
        <v>443</v>
      </c>
      <c r="H43" s="80" t="s">
        <v>718</v>
      </c>
      <c r="I43" s="24">
        <v>773.95500000000004</v>
      </c>
      <c r="J43" s="24">
        <f t="shared" si="0"/>
        <v>696.55950000000007</v>
      </c>
      <c r="K43" s="24">
        <v>859.95</v>
      </c>
      <c r="L43" s="24">
        <v>859.95</v>
      </c>
      <c r="M43" s="24">
        <v>859.95</v>
      </c>
      <c r="N43" s="24">
        <v>859.95</v>
      </c>
      <c r="O43" s="24">
        <v>859.95</v>
      </c>
      <c r="P43" s="24">
        <v>859.95</v>
      </c>
      <c r="Q43" s="24">
        <v>859.95</v>
      </c>
      <c r="R43" s="24">
        <v>859.95</v>
      </c>
      <c r="S43" s="73">
        <v>859.95</v>
      </c>
      <c r="T43" s="24">
        <v>799.95</v>
      </c>
      <c r="U43" s="24">
        <v>799.95</v>
      </c>
      <c r="V43" s="24">
        <v>799.95</v>
      </c>
      <c r="W43" s="24" t="s">
        <v>41</v>
      </c>
      <c r="X43" s="24" t="s">
        <v>41</v>
      </c>
      <c r="Y43" s="24" t="s">
        <v>41</v>
      </c>
      <c r="Z43" s="24" t="s">
        <v>41</v>
      </c>
      <c r="AA43" s="24" t="s">
        <v>41</v>
      </c>
      <c r="AB43" s="24"/>
      <c r="AC43" s="28"/>
      <c r="AD43" s="23"/>
    </row>
    <row r="44" spans="1:31" x14ac:dyDescent="0.2">
      <c r="A44" s="83" t="s">
        <v>913</v>
      </c>
      <c r="B44" s="1" t="s">
        <v>84</v>
      </c>
      <c r="C44" s="1" t="s">
        <v>140</v>
      </c>
      <c r="D44" s="1" t="s">
        <v>141</v>
      </c>
      <c r="E44" s="80" t="s">
        <v>440</v>
      </c>
      <c r="F44" s="85" t="s">
        <v>323</v>
      </c>
      <c r="G44" s="80" t="s">
        <v>443</v>
      </c>
      <c r="H44" s="80" t="s">
        <v>781</v>
      </c>
      <c r="I44" s="24">
        <v>179.95499999999998</v>
      </c>
      <c r="J44" s="24">
        <f t="shared" si="0"/>
        <v>161.95949999999999</v>
      </c>
      <c r="K44" s="24">
        <v>199.95</v>
      </c>
      <c r="L44" s="24">
        <v>199.95</v>
      </c>
      <c r="M44" s="24">
        <v>199.95</v>
      </c>
      <c r="N44" s="24">
        <v>199.95</v>
      </c>
      <c r="O44" s="24">
        <v>199.95</v>
      </c>
      <c r="P44" s="24">
        <v>199.95</v>
      </c>
      <c r="Q44" s="24">
        <v>199.95</v>
      </c>
      <c r="R44" s="24">
        <v>199.95</v>
      </c>
      <c r="S44" s="73">
        <v>199.95</v>
      </c>
      <c r="T44" s="24">
        <v>189.95</v>
      </c>
      <c r="U44" s="24">
        <v>189.95</v>
      </c>
      <c r="V44" s="24">
        <v>189.95</v>
      </c>
      <c r="W44" s="24">
        <v>189.95</v>
      </c>
      <c r="X44" s="24">
        <v>189.95</v>
      </c>
      <c r="Y44" s="24">
        <v>189.95</v>
      </c>
      <c r="Z44" s="24">
        <v>189.95</v>
      </c>
      <c r="AA44" s="24">
        <v>189.95</v>
      </c>
      <c r="AB44" s="24"/>
      <c r="AC44" s="28"/>
      <c r="AD44" s="23"/>
    </row>
    <row r="45" spans="1:31" s="3" customFormat="1" x14ac:dyDescent="0.2">
      <c r="A45" s="83" t="s">
        <v>913</v>
      </c>
      <c r="B45" s="1" t="s">
        <v>589</v>
      </c>
      <c r="C45" s="1" t="s">
        <v>598</v>
      </c>
      <c r="D45" s="1" t="s">
        <v>592</v>
      </c>
      <c r="E45" s="80" t="s">
        <v>440</v>
      </c>
      <c r="F45" s="1" t="s">
        <v>899</v>
      </c>
      <c r="G45" s="80" t="s">
        <v>443</v>
      </c>
      <c r="H45" s="80" t="s">
        <v>718</v>
      </c>
      <c r="I45" s="24">
        <v>1529.9550000000002</v>
      </c>
      <c r="J45" s="24">
        <f t="shared" si="0"/>
        <v>1376.9595000000002</v>
      </c>
      <c r="K45" s="24">
        <v>1699.95</v>
      </c>
      <c r="L45" s="24">
        <v>1699.95</v>
      </c>
      <c r="M45" s="24">
        <v>1699.95</v>
      </c>
      <c r="N45" s="24" t="s">
        <v>41</v>
      </c>
      <c r="O45" s="24" t="s">
        <v>41</v>
      </c>
      <c r="P45" s="24" t="s">
        <v>41</v>
      </c>
      <c r="Q45" s="24" t="s">
        <v>41</v>
      </c>
      <c r="R45" s="24" t="s">
        <v>41</v>
      </c>
      <c r="S45" s="73" t="s">
        <v>41</v>
      </c>
      <c r="T45" s="24" t="s">
        <v>41</v>
      </c>
      <c r="U45" s="24" t="s">
        <v>41</v>
      </c>
      <c r="V45" s="24" t="s">
        <v>41</v>
      </c>
      <c r="W45" s="24" t="s">
        <v>41</v>
      </c>
      <c r="X45" s="24" t="s">
        <v>41</v>
      </c>
      <c r="Y45" s="24" t="s">
        <v>41</v>
      </c>
      <c r="Z45" s="24" t="s">
        <v>41</v>
      </c>
      <c r="AA45" s="24" t="s">
        <v>41</v>
      </c>
      <c r="AB45" s="24"/>
      <c r="AC45" s="28"/>
      <c r="AD45" s="23"/>
      <c r="AE45" s="1"/>
    </row>
    <row r="46" spans="1:31" x14ac:dyDescent="0.2">
      <c r="A46" s="83" t="s">
        <v>913</v>
      </c>
      <c r="B46" s="1" t="s">
        <v>833</v>
      </c>
      <c r="C46" s="1" t="s">
        <v>852</v>
      </c>
      <c r="D46" s="1" t="s">
        <v>834</v>
      </c>
      <c r="E46" s="80" t="s">
        <v>440</v>
      </c>
      <c r="F46" s="80" t="s">
        <v>856</v>
      </c>
      <c r="G46" s="80" t="s">
        <v>443</v>
      </c>
      <c r="H46" s="80" t="s">
        <v>718</v>
      </c>
      <c r="I46" s="24">
        <v>1538.9550000000002</v>
      </c>
      <c r="J46" s="24">
        <f t="shared" si="0"/>
        <v>1385.0595000000001</v>
      </c>
      <c r="K46" s="24">
        <v>1709.95</v>
      </c>
      <c r="L46" s="24">
        <v>1709.95</v>
      </c>
      <c r="M46" s="24">
        <v>1709.95</v>
      </c>
      <c r="N46" s="24">
        <v>1709.95</v>
      </c>
      <c r="O46" s="24">
        <v>1709.95</v>
      </c>
      <c r="P46" s="24">
        <v>1709.95</v>
      </c>
      <c r="Q46" s="24">
        <v>1709.95</v>
      </c>
      <c r="R46" s="24">
        <v>1709.95</v>
      </c>
      <c r="S46" s="73">
        <v>1709.95</v>
      </c>
      <c r="T46" s="24">
        <v>1599.95</v>
      </c>
      <c r="U46" s="24">
        <v>1599.95</v>
      </c>
      <c r="V46" s="24" t="s">
        <v>41</v>
      </c>
      <c r="W46" s="24" t="s">
        <v>41</v>
      </c>
      <c r="X46" s="24" t="s">
        <v>41</v>
      </c>
      <c r="Y46" s="24" t="s">
        <v>41</v>
      </c>
      <c r="Z46" s="24" t="s">
        <v>41</v>
      </c>
      <c r="AA46" s="24" t="s">
        <v>41</v>
      </c>
      <c r="AB46" s="24"/>
      <c r="AC46" s="28"/>
      <c r="AD46" s="23"/>
    </row>
    <row r="47" spans="1:31" x14ac:dyDescent="0.2">
      <c r="A47" s="83" t="s">
        <v>913</v>
      </c>
      <c r="B47" s="1" t="s">
        <v>85</v>
      </c>
      <c r="C47" s="1" t="s">
        <v>289</v>
      </c>
      <c r="D47" s="1" t="s">
        <v>246</v>
      </c>
      <c r="E47" s="80" t="s">
        <v>440</v>
      </c>
      <c r="F47" s="80" t="s">
        <v>290</v>
      </c>
      <c r="G47" s="80" t="s">
        <v>443</v>
      </c>
      <c r="H47" s="80" t="s">
        <v>718</v>
      </c>
      <c r="I47" s="24">
        <v>737.95500000000004</v>
      </c>
      <c r="J47" s="24">
        <f t="shared" si="0"/>
        <v>664.15950000000009</v>
      </c>
      <c r="K47" s="24">
        <v>819.95</v>
      </c>
      <c r="L47" s="24">
        <v>819.95</v>
      </c>
      <c r="M47" s="24">
        <v>819.95</v>
      </c>
      <c r="N47" s="24">
        <v>819.95</v>
      </c>
      <c r="O47" s="24">
        <v>819.95</v>
      </c>
      <c r="P47" s="24">
        <v>819.95</v>
      </c>
      <c r="Q47" s="24">
        <v>819.95</v>
      </c>
      <c r="R47" s="24">
        <v>819.95</v>
      </c>
      <c r="S47" s="73">
        <v>819.95</v>
      </c>
      <c r="T47" s="24">
        <v>769.95</v>
      </c>
      <c r="U47" s="24">
        <v>769.95</v>
      </c>
      <c r="V47" s="24">
        <v>769.95</v>
      </c>
      <c r="W47" s="24">
        <v>769.95</v>
      </c>
      <c r="X47" s="24">
        <v>769.95</v>
      </c>
      <c r="Y47" s="24">
        <v>769.95</v>
      </c>
      <c r="Z47" s="24">
        <v>769.95</v>
      </c>
      <c r="AA47" s="24">
        <v>769.95</v>
      </c>
      <c r="AB47" s="24"/>
      <c r="AC47" s="28"/>
      <c r="AD47" s="23"/>
    </row>
    <row r="48" spans="1:31" x14ac:dyDescent="0.2">
      <c r="A48" s="83" t="s">
        <v>913</v>
      </c>
      <c r="B48" s="1" t="s">
        <v>234</v>
      </c>
      <c r="C48" s="1" t="s">
        <v>287</v>
      </c>
      <c r="D48" s="1" t="s">
        <v>235</v>
      </c>
      <c r="E48" s="80" t="s">
        <v>440</v>
      </c>
      <c r="F48" s="80" t="s">
        <v>288</v>
      </c>
      <c r="G48" s="80" t="s">
        <v>443</v>
      </c>
      <c r="H48" s="80" t="s">
        <v>718</v>
      </c>
      <c r="I48" s="24">
        <v>701.95500000000004</v>
      </c>
      <c r="J48" s="24">
        <f t="shared" si="0"/>
        <v>631.7595</v>
      </c>
      <c r="K48" s="24">
        <v>779.95</v>
      </c>
      <c r="L48" s="24">
        <v>779.95</v>
      </c>
      <c r="M48" s="24">
        <v>779.95</v>
      </c>
      <c r="N48" s="24">
        <v>779.95</v>
      </c>
      <c r="O48" s="24">
        <v>779.95</v>
      </c>
      <c r="P48" s="24">
        <v>779.95</v>
      </c>
      <c r="Q48" s="24">
        <v>779.95</v>
      </c>
      <c r="R48" s="24">
        <v>779.95</v>
      </c>
      <c r="S48" s="73">
        <v>779.95</v>
      </c>
      <c r="T48" s="24">
        <v>729.95</v>
      </c>
      <c r="U48" s="24">
        <v>729.95</v>
      </c>
      <c r="V48" s="24">
        <v>729.95</v>
      </c>
      <c r="W48" s="24">
        <v>729.95</v>
      </c>
      <c r="X48" s="24">
        <v>729.95</v>
      </c>
      <c r="Y48" s="24">
        <v>729.95</v>
      </c>
      <c r="Z48" s="24">
        <v>729.95</v>
      </c>
      <c r="AA48" s="24">
        <v>729.95</v>
      </c>
      <c r="AB48" s="24"/>
      <c r="AC48" s="28"/>
      <c r="AD48" s="23"/>
    </row>
    <row r="49" spans="1:31" x14ac:dyDescent="0.2">
      <c r="A49" s="83" t="s">
        <v>913</v>
      </c>
      <c r="B49" s="1" t="s">
        <v>230</v>
      </c>
      <c r="C49" s="1" t="s">
        <v>283</v>
      </c>
      <c r="D49" s="1" t="s">
        <v>236</v>
      </c>
      <c r="E49" s="80" t="s">
        <v>440</v>
      </c>
      <c r="F49" s="80" t="s">
        <v>284</v>
      </c>
      <c r="G49" s="80" t="s">
        <v>443</v>
      </c>
      <c r="H49" s="80" t="s">
        <v>718</v>
      </c>
      <c r="I49" s="24">
        <v>512.95500000000004</v>
      </c>
      <c r="J49" s="24">
        <f t="shared" si="0"/>
        <v>461.65950000000004</v>
      </c>
      <c r="K49" s="24">
        <v>569.95000000000005</v>
      </c>
      <c r="L49" s="24">
        <v>569.95000000000005</v>
      </c>
      <c r="M49" s="24">
        <v>569.95000000000005</v>
      </c>
      <c r="N49" s="24">
        <v>569.95000000000005</v>
      </c>
      <c r="O49" s="24">
        <v>569.95000000000005</v>
      </c>
      <c r="P49" s="24">
        <v>569.95000000000005</v>
      </c>
      <c r="Q49" s="24">
        <v>569.95000000000005</v>
      </c>
      <c r="R49" s="24">
        <v>569.95000000000005</v>
      </c>
      <c r="S49" s="73">
        <v>569.95000000000005</v>
      </c>
      <c r="T49" s="24">
        <v>529.95000000000005</v>
      </c>
      <c r="U49" s="24">
        <v>529.95000000000005</v>
      </c>
      <c r="V49" s="24">
        <v>529.95000000000005</v>
      </c>
      <c r="W49" s="24">
        <v>529.95000000000005</v>
      </c>
      <c r="X49" s="24">
        <v>529.95000000000005</v>
      </c>
      <c r="Y49" s="24">
        <v>529.95000000000005</v>
      </c>
      <c r="Z49" s="24">
        <v>529.95000000000005</v>
      </c>
      <c r="AA49" s="24">
        <v>529.95000000000005</v>
      </c>
      <c r="AB49" s="24"/>
      <c r="AC49" s="28"/>
      <c r="AD49" s="23"/>
    </row>
    <row r="50" spans="1:31" x14ac:dyDescent="0.2">
      <c r="A50" s="83" t="s">
        <v>913</v>
      </c>
      <c r="B50" s="1" t="s">
        <v>241</v>
      </c>
      <c r="C50" s="1" t="s">
        <v>282</v>
      </c>
      <c r="D50" s="1" t="s">
        <v>242</v>
      </c>
      <c r="E50" s="80" t="s">
        <v>440</v>
      </c>
      <c r="F50" s="80" t="s">
        <v>573</v>
      </c>
      <c r="G50" s="80" t="s">
        <v>443</v>
      </c>
      <c r="H50" s="80" t="s">
        <v>718</v>
      </c>
      <c r="I50" s="24">
        <v>674.95500000000004</v>
      </c>
      <c r="J50" s="24">
        <f t="shared" si="0"/>
        <v>607.45950000000005</v>
      </c>
      <c r="K50" s="24">
        <v>749.95</v>
      </c>
      <c r="L50" s="24">
        <v>749.95</v>
      </c>
      <c r="M50" s="24">
        <v>749.95</v>
      </c>
      <c r="N50" s="24">
        <v>749.95</v>
      </c>
      <c r="O50" s="24">
        <v>749.95</v>
      </c>
      <c r="P50" s="24">
        <v>749.95</v>
      </c>
      <c r="Q50" s="24">
        <v>749.95</v>
      </c>
      <c r="R50" s="24">
        <v>749.95</v>
      </c>
      <c r="S50" s="73">
        <v>749.95</v>
      </c>
      <c r="T50" s="24">
        <v>699.95</v>
      </c>
      <c r="U50" s="24">
        <v>699.95</v>
      </c>
      <c r="V50" s="24">
        <v>699.95</v>
      </c>
      <c r="W50" s="24">
        <v>699.95</v>
      </c>
      <c r="X50" s="24">
        <v>699.95</v>
      </c>
      <c r="Y50" s="24">
        <v>699.95</v>
      </c>
      <c r="Z50" s="24">
        <v>699.95</v>
      </c>
      <c r="AA50" s="24">
        <v>699.95</v>
      </c>
      <c r="AB50" s="24"/>
      <c r="AC50" s="28"/>
      <c r="AD50" s="23"/>
    </row>
    <row r="51" spans="1:31" x14ac:dyDescent="0.2">
      <c r="A51" s="83" t="s">
        <v>913</v>
      </c>
      <c r="B51" s="1" t="s">
        <v>231</v>
      </c>
      <c r="C51" s="1" t="s">
        <v>409</v>
      </c>
      <c r="D51" s="1" t="s">
        <v>232</v>
      </c>
      <c r="E51" s="80" t="s">
        <v>440</v>
      </c>
      <c r="F51" s="80" t="s">
        <v>410</v>
      </c>
      <c r="G51" s="80" t="s">
        <v>443</v>
      </c>
      <c r="H51" s="80" t="s">
        <v>718</v>
      </c>
      <c r="I51" s="24">
        <v>899.95500000000004</v>
      </c>
      <c r="J51" s="24">
        <f t="shared" si="0"/>
        <v>809.95950000000005</v>
      </c>
      <c r="K51" s="24">
        <v>999.95</v>
      </c>
      <c r="L51" s="24">
        <v>999.95</v>
      </c>
      <c r="M51" s="24">
        <v>999.95</v>
      </c>
      <c r="N51" s="24">
        <v>999.95</v>
      </c>
      <c r="O51" s="24">
        <v>999.95</v>
      </c>
      <c r="P51" s="24">
        <v>999.95</v>
      </c>
      <c r="Q51" s="24">
        <v>999.95</v>
      </c>
      <c r="R51" s="24">
        <v>999.95</v>
      </c>
      <c r="S51" s="73">
        <v>999.95</v>
      </c>
      <c r="T51" s="24">
        <v>929.95</v>
      </c>
      <c r="U51" s="24">
        <v>929.95</v>
      </c>
      <c r="V51" s="24">
        <v>929.95</v>
      </c>
      <c r="W51" s="24">
        <v>929.95</v>
      </c>
      <c r="X51" s="24">
        <v>929.95</v>
      </c>
      <c r="Y51" s="24">
        <v>929.95</v>
      </c>
      <c r="Z51" s="24">
        <v>929.95</v>
      </c>
      <c r="AA51" s="24">
        <v>929.95</v>
      </c>
      <c r="AB51" s="24"/>
      <c r="AC51" s="28"/>
      <c r="AD51" s="23"/>
    </row>
    <row r="52" spans="1:31" x14ac:dyDescent="0.2">
      <c r="A52" s="1" t="s">
        <v>732</v>
      </c>
      <c r="B52" s="67" t="s">
        <v>847</v>
      </c>
      <c r="C52" s="67"/>
      <c r="D52" s="67" t="s">
        <v>848</v>
      </c>
      <c r="E52" s="84" t="s">
        <v>440</v>
      </c>
      <c r="F52" s="84" t="s">
        <v>850</v>
      </c>
      <c r="G52" s="84" t="s">
        <v>443</v>
      </c>
      <c r="H52" s="84" t="s">
        <v>732</v>
      </c>
      <c r="I52" s="68">
        <v>359.95499999999998</v>
      </c>
      <c r="J52" s="24">
        <f t="shared" si="0"/>
        <v>323.95949999999999</v>
      </c>
      <c r="K52" s="68">
        <v>399.95</v>
      </c>
      <c r="L52" s="68">
        <v>399.95</v>
      </c>
      <c r="M52" s="68">
        <v>399.95</v>
      </c>
      <c r="N52" s="68">
        <v>399.95</v>
      </c>
      <c r="O52" s="68">
        <v>399.95</v>
      </c>
      <c r="P52" s="68">
        <v>399.95</v>
      </c>
      <c r="Q52" s="68">
        <v>399.95</v>
      </c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75"/>
      <c r="AC52" s="67"/>
      <c r="AD52" s="67"/>
      <c r="AE52" s="67"/>
    </row>
    <row r="53" spans="1:31" x14ac:dyDescent="0.2">
      <c r="A53" s="83" t="s">
        <v>913</v>
      </c>
      <c r="B53" s="1" t="s">
        <v>237</v>
      </c>
      <c r="C53" s="1" t="s">
        <v>285</v>
      </c>
      <c r="D53" s="1" t="s">
        <v>238</v>
      </c>
      <c r="E53" s="80" t="s">
        <v>440</v>
      </c>
      <c r="F53" s="80" t="s">
        <v>286</v>
      </c>
      <c r="G53" s="80" t="s">
        <v>443</v>
      </c>
      <c r="H53" s="80" t="s">
        <v>718</v>
      </c>
      <c r="I53" s="24">
        <v>440.95499999999998</v>
      </c>
      <c r="J53" s="24">
        <f t="shared" si="0"/>
        <v>396.85949999999997</v>
      </c>
      <c r="K53" s="24">
        <v>489.95</v>
      </c>
      <c r="L53" s="24">
        <v>489.95</v>
      </c>
      <c r="M53" s="24">
        <v>489.95</v>
      </c>
      <c r="N53" s="24">
        <v>489.95</v>
      </c>
      <c r="O53" s="24">
        <v>489.95</v>
      </c>
      <c r="P53" s="24">
        <v>489.95</v>
      </c>
      <c r="Q53" s="24">
        <v>489.95</v>
      </c>
      <c r="R53" s="24">
        <v>489.95</v>
      </c>
      <c r="S53" s="73">
        <v>489.95</v>
      </c>
      <c r="T53" s="24">
        <v>459.95</v>
      </c>
      <c r="U53" s="24">
        <v>459.95</v>
      </c>
      <c r="V53" s="24">
        <v>459.95</v>
      </c>
      <c r="W53" s="24">
        <v>459.95</v>
      </c>
      <c r="X53" s="24">
        <v>459.95</v>
      </c>
      <c r="Y53" s="24">
        <v>459.95</v>
      </c>
      <c r="Z53" s="24">
        <v>459.95</v>
      </c>
      <c r="AA53" s="24">
        <v>459.95</v>
      </c>
      <c r="AB53" s="24"/>
      <c r="AC53" s="28"/>
      <c r="AD53" s="23"/>
    </row>
    <row r="54" spans="1:31" x14ac:dyDescent="0.2">
      <c r="A54" s="83" t="s">
        <v>913</v>
      </c>
      <c r="B54" s="1" t="s">
        <v>435</v>
      </c>
      <c r="C54" s="1" t="s">
        <v>276</v>
      </c>
      <c r="D54" s="1" t="s">
        <v>117</v>
      </c>
      <c r="E54" s="80" t="s">
        <v>440</v>
      </c>
      <c r="F54" s="80" t="s">
        <v>574</v>
      </c>
      <c r="G54" s="80" t="s">
        <v>443</v>
      </c>
      <c r="H54" s="80" t="s">
        <v>718</v>
      </c>
      <c r="I54" s="24">
        <v>116.955</v>
      </c>
      <c r="J54" s="24">
        <f t="shared" si="0"/>
        <v>105.2595</v>
      </c>
      <c r="K54" s="24">
        <v>129.94999999999999</v>
      </c>
      <c r="L54" s="24">
        <v>129.94999999999999</v>
      </c>
      <c r="M54" s="24">
        <v>129.94999999999999</v>
      </c>
      <c r="N54" s="24">
        <v>129.94999999999999</v>
      </c>
      <c r="O54" s="24">
        <v>129.94999999999999</v>
      </c>
      <c r="P54" s="24">
        <v>129.94999999999999</v>
      </c>
      <c r="Q54" s="24">
        <v>129.94999999999999</v>
      </c>
      <c r="R54" s="24">
        <v>129.94999999999999</v>
      </c>
      <c r="S54" s="73">
        <v>129.94999999999999</v>
      </c>
      <c r="T54" s="24">
        <v>119.95</v>
      </c>
      <c r="U54" s="24">
        <v>119.95</v>
      </c>
      <c r="V54" s="24">
        <v>119.95</v>
      </c>
      <c r="W54" s="24">
        <v>119.95</v>
      </c>
      <c r="X54" s="24">
        <v>119.95</v>
      </c>
      <c r="Y54" s="24">
        <v>119.95</v>
      </c>
      <c r="Z54" s="24">
        <v>119.95</v>
      </c>
      <c r="AA54" s="24">
        <v>119.95</v>
      </c>
      <c r="AB54" s="24"/>
      <c r="AC54" s="28"/>
      <c r="AD54" s="23"/>
    </row>
    <row r="55" spans="1:31" x14ac:dyDescent="0.2">
      <c r="A55" s="83" t="s">
        <v>913</v>
      </c>
      <c r="B55" s="1" t="s">
        <v>798</v>
      </c>
      <c r="C55" s="1" t="s">
        <v>558</v>
      </c>
      <c r="D55" s="1" t="s">
        <v>800</v>
      </c>
      <c r="E55" s="80" t="s">
        <v>440</v>
      </c>
      <c r="F55" s="85" t="s">
        <v>799</v>
      </c>
      <c r="G55" s="80" t="s">
        <v>443</v>
      </c>
      <c r="H55" s="80" t="s">
        <v>718</v>
      </c>
      <c r="I55" s="24">
        <v>638.95500000000004</v>
      </c>
      <c r="J55" s="24">
        <f t="shared" si="0"/>
        <v>575.05950000000007</v>
      </c>
      <c r="K55" s="24">
        <v>709.95</v>
      </c>
      <c r="L55" s="24">
        <v>709.95</v>
      </c>
      <c r="M55" s="24">
        <v>709.95</v>
      </c>
      <c r="N55" s="24">
        <v>709.95</v>
      </c>
      <c r="O55" s="24">
        <v>709.95</v>
      </c>
      <c r="P55" s="24">
        <v>709.95</v>
      </c>
      <c r="Q55" s="24">
        <v>709.95</v>
      </c>
      <c r="R55" s="24">
        <v>709.95</v>
      </c>
      <c r="S55" s="73">
        <v>709.95</v>
      </c>
      <c r="T55" s="24">
        <v>659.95</v>
      </c>
      <c r="U55" s="24">
        <v>659.95</v>
      </c>
      <c r="V55" s="24">
        <v>659.95</v>
      </c>
      <c r="W55" s="24">
        <v>659.95</v>
      </c>
      <c r="X55" s="24">
        <v>659.95</v>
      </c>
      <c r="Y55" s="24">
        <v>659.95</v>
      </c>
      <c r="Z55" s="24">
        <v>659.95</v>
      </c>
      <c r="AA55" s="24">
        <v>599.95000000000005</v>
      </c>
      <c r="AB55" s="24"/>
      <c r="AC55" s="28"/>
    </row>
    <row r="56" spans="1:31" x14ac:dyDescent="0.2">
      <c r="A56" s="83" t="s">
        <v>913</v>
      </c>
      <c r="B56" s="1" t="s">
        <v>581</v>
      </c>
      <c r="C56" s="1" t="s">
        <v>255</v>
      </c>
      <c r="D56" s="1" t="s">
        <v>133</v>
      </c>
      <c r="E56" s="80" t="s">
        <v>440</v>
      </c>
      <c r="F56" s="85" t="s">
        <v>325</v>
      </c>
      <c r="G56" s="80" t="s">
        <v>443</v>
      </c>
      <c r="H56" s="80" t="s">
        <v>718</v>
      </c>
      <c r="I56" s="24">
        <v>134.95499999999998</v>
      </c>
      <c r="J56" s="24">
        <f t="shared" si="0"/>
        <v>121.45949999999999</v>
      </c>
      <c r="K56" s="24">
        <v>149.94999999999999</v>
      </c>
      <c r="L56" s="24">
        <v>149.94999999999999</v>
      </c>
      <c r="M56" s="24">
        <v>149.94999999999999</v>
      </c>
      <c r="N56" s="24">
        <v>149.94999999999999</v>
      </c>
      <c r="O56" s="24">
        <v>149.94999999999999</v>
      </c>
      <c r="P56" s="24">
        <v>149.94999999999999</v>
      </c>
      <c r="Q56" s="24">
        <v>149.94999999999999</v>
      </c>
      <c r="R56" s="24">
        <v>149.94999999999999</v>
      </c>
      <c r="S56" s="73">
        <v>149.94999999999999</v>
      </c>
      <c r="T56" s="24">
        <v>139.94999999999999</v>
      </c>
      <c r="U56" s="24">
        <v>139.94999999999999</v>
      </c>
      <c r="V56" s="24">
        <v>139.94999999999999</v>
      </c>
      <c r="W56" s="24">
        <v>139.94999999999999</v>
      </c>
      <c r="X56" s="24">
        <v>139.94999999999999</v>
      </c>
      <c r="Y56" s="24">
        <v>139.94999999999999</v>
      </c>
      <c r="Z56" s="24">
        <v>139.94999999999999</v>
      </c>
      <c r="AA56" s="24">
        <v>139.94999999999999</v>
      </c>
      <c r="AB56" s="24"/>
      <c r="AC56" s="28"/>
      <c r="AD56" s="23"/>
    </row>
    <row r="57" spans="1:31" x14ac:dyDescent="0.2">
      <c r="A57" s="83" t="s">
        <v>913</v>
      </c>
      <c r="B57" s="1" t="s">
        <v>583</v>
      </c>
      <c r="C57" s="1" t="s">
        <v>277</v>
      </c>
      <c r="D57" s="1" t="s">
        <v>59</v>
      </c>
      <c r="E57" s="80" t="s">
        <v>440</v>
      </c>
      <c r="F57" s="80" t="s">
        <v>278</v>
      </c>
      <c r="G57" s="80" t="s">
        <v>443</v>
      </c>
      <c r="H57" s="80" t="s">
        <v>718</v>
      </c>
      <c r="I57" s="24">
        <v>107.955</v>
      </c>
      <c r="J57" s="24">
        <f t="shared" si="0"/>
        <v>97.159499999999994</v>
      </c>
      <c r="K57" s="24">
        <v>119.95</v>
      </c>
      <c r="L57" s="24">
        <v>119.95</v>
      </c>
      <c r="M57" s="24">
        <v>119.95</v>
      </c>
      <c r="N57" s="24">
        <v>119.95</v>
      </c>
      <c r="O57" s="24">
        <v>119.95</v>
      </c>
      <c r="P57" s="24">
        <v>119.95</v>
      </c>
      <c r="Q57" s="24">
        <v>119.95</v>
      </c>
      <c r="R57" s="24">
        <v>119.95</v>
      </c>
      <c r="S57" s="73">
        <v>119.95</v>
      </c>
      <c r="T57" s="24">
        <v>109.95</v>
      </c>
      <c r="U57" s="24">
        <v>109.95</v>
      </c>
      <c r="V57" s="24">
        <v>109.95</v>
      </c>
      <c r="W57" s="24">
        <v>109.95</v>
      </c>
      <c r="X57" s="24">
        <v>109.95</v>
      </c>
      <c r="Y57" s="24">
        <v>109.95</v>
      </c>
      <c r="Z57" s="24">
        <v>109.95</v>
      </c>
      <c r="AA57" s="24">
        <v>109.95</v>
      </c>
      <c r="AB57" s="24"/>
      <c r="AC57" s="28"/>
      <c r="AD57" s="23"/>
    </row>
    <row r="58" spans="1:31" x14ac:dyDescent="0.2">
      <c r="A58" s="83" t="s">
        <v>913</v>
      </c>
      <c r="B58" s="1" t="s">
        <v>582</v>
      </c>
      <c r="D58" s="1" t="s">
        <v>447</v>
      </c>
      <c r="E58" s="80" t="s">
        <v>440</v>
      </c>
      <c r="F58" s="80" t="s">
        <v>223</v>
      </c>
      <c r="G58" s="80" t="s">
        <v>912</v>
      </c>
      <c r="H58" s="80" t="s">
        <v>718</v>
      </c>
      <c r="I58" s="24" t="s">
        <v>41</v>
      </c>
      <c r="J58" s="24" t="e">
        <f t="shared" si="0"/>
        <v>#VALUE!</v>
      </c>
      <c r="K58" s="24" t="s">
        <v>41</v>
      </c>
      <c r="L58" s="24" t="s">
        <v>41</v>
      </c>
      <c r="M58" s="24" t="s">
        <v>41</v>
      </c>
      <c r="N58" s="24" t="s">
        <v>41</v>
      </c>
      <c r="O58" s="24" t="s">
        <v>41</v>
      </c>
      <c r="P58" s="24" t="s">
        <v>41</v>
      </c>
      <c r="Q58" s="24" t="s">
        <v>41</v>
      </c>
      <c r="R58" s="24" t="s">
        <v>41</v>
      </c>
      <c r="S58" s="73" t="s">
        <v>41</v>
      </c>
      <c r="T58" s="24" t="s">
        <v>41</v>
      </c>
      <c r="U58" s="24" t="s">
        <v>41</v>
      </c>
      <c r="V58" s="24" t="s">
        <v>41</v>
      </c>
      <c r="W58" s="24" t="s">
        <v>41</v>
      </c>
      <c r="X58" s="24" t="s">
        <v>41</v>
      </c>
      <c r="Y58" s="24" t="s">
        <v>41</v>
      </c>
      <c r="Z58" s="24" t="s">
        <v>41</v>
      </c>
      <c r="AA58" s="24" t="s">
        <v>41</v>
      </c>
      <c r="AB58" s="24"/>
      <c r="AC58" s="28"/>
      <c r="AD58" s="23"/>
    </row>
    <row r="59" spans="1:31" x14ac:dyDescent="0.2">
      <c r="A59" s="83" t="s">
        <v>913</v>
      </c>
      <c r="B59" s="1" t="s">
        <v>580</v>
      </c>
      <c r="C59" s="1" t="s">
        <v>563</v>
      </c>
      <c r="D59" s="1" t="s">
        <v>501</v>
      </c>
      <c r="E59" s="80" t="s">
        <v>440</v>
      </c>
      <c r="F59" s="80" t="s">
        <v>565</v>
      </c>
      <c r="G59" s="80" t="s">
        <v>443</v>
      </c>
      <c r="H59" s="80" t="s">
        <v>718</v>
      </c>
      <c r="I59" s="24">
        <v>152.95499999999998</v>
      </c>
      <c r="J59" s="24">
        <f t="shared" si="0"/>
        <v>137.65949999999998</v>
      </c>
      <c r="K59" s="24">
        <v>169.95</v>
      </c>
      <c r="L59" s="24">
        <v>169.95</v>
      </c>
      <c r="M59" s="24">
        <v>169.95</v>
      </c>
      <c r="N59" s="24">
        <v>169.95</v>
      </c>
      <c r="O59" s="24">
        <v>169.95</v>
      </c>
      <c r="P59" s="24">
        <v>169.95</v>
      </c>
      <c r="Q59" s="24">
        <v>169.95</v>
      </c>
      <c r="R59" s="24">
        <v>169.95</v>
      </c>
      <c r="S59" s="73">
        <v>169.95</v>
      </c>
      <c r="T59" s="24">
        <v>159.94999999999999</v>
      </c>
      <c r="U59" s="24">
        <v>159.94999999999999</v>
      </c>
      <c r="V59" s="24">
        <v>159.94999999999999</v>
      </c>
      <c r="W59" s="24">
        <v>159.94999999999999</v>
      </c>
      <c r="X59" s="24">
        <v>159.94999999999999</v>
      </c>
      <c r="Y59" s="24">
        <v>159.94999999999999</v>
      </c>
      <c r="Z59" s="24">
        <v>159.94999999999999</v>
      </c>
      <c r="AA59" s="24">
        <v>159.94999999999999</v>
      </c>
      <c r="AB59" s="24"/>
      <c r="AC59" s="28"/>
      <c r="AD59" s="23"/>
    </row>
    <row r="60" spans="1:31" x14ac:dyDescent="0.2">
      <c r="A60" s="83" t="s">
        <v>913</v>
      </c>
      <c r="B60" s="1" t="s">
        <v>690</v>
      </c>
      <c r="C60" s="1" t="s">
        <v>273</v>
      </c>
      <c r="D60" s="1" t="s">
        <v>274</v>
      </c>
      <c r="E60" s="80" t="s">
        <v>440</v>
      </c>
      <c r="F60" s="80" t="s">
        <v>572</v>
      </c>
      <c r="G60" s="80" t="s">
        <v>443</v>
      </c>
      <c r="H60" s="80" t="s">
        <v>718</v>
      </c>
      <c r="I60" s="24">
        <v>917.95500000000004</v>
      </c>
      <c r="J60" s="24">
        <f t="shared" si="0"/>
        <v>826.15950000000009</v>
      </c>
      <c r="K60" s="24">
        <v>1019.95</v>
      </c>
      <c r="L60" s="24">
        <v>1019.95</v>
      </c>
      <c r="M60" s="24">
        <v>1019.95</v>
      </c>
      <c r="N60" s="24">
        <v>1019.95</v>
      </c>
      <c r="O60" s="24">
        <v>1019.95</v>
      </c>
      <c r="P60" s="24">
        <v>1019.95</v>
      </c>
      <c r="Q60" s="24">
        <v>1019.95</v>
      </c>
      <c r="R60" s="24">
        <v>1019.95</v>
      </c>
      <c r="S60" s="73">
        <v>1019.95</v>
      </c>
      <c r="T60" s="24">
        <v>949.95</v>
      </c>
      <c r="U60" s="24">
        <v>949.95</v>
      </c>
      <c r="V60" s="24">
        <v>949.95</v>
      </c>
      <c r="W60" s="24">
        <v>949.95</v>
      </c>
      <c r="X60" s="24">
        <v>949.95</v>
      </c>
      <c r="Y60" s="24">
        <v>949.95</v>
      </c>
      <c r="Z60" s="24">
        <v>949.95</v>
      </c>
      <c r="AA60" s="24">
        <v>949.95</v>
      </c>
      <c r="AB60" s="24"/>
      <c r="AC60" s="28"/>
      <c r="AD60" s="23"/>
    </row>
    <row r="61" spans="1:31" x14ac:dyDescent="0.2">
      <c r="A61" s="83" t="s">
        <v>913</v>
      </c>
      <c r="B61" s="1" t="s">
        <v>481</v>
      </c>
      <c r="C61" s="1" t="s">
        <v>548</v>
      </c>
      <c r="D61" s="1" t="s">
        <v>490</v>
      </c>
      <c r="E61" s="80" t="s">
        <v>440</v>
      </c>
      <c r="F61" s="85" t="s">
        <v>510</v>
      </c>
      <c r="G61" s="80" t="s">
        <v>443</v>
      </c>
      <c r="H61" s="80" t="s">
        <v>718</v>
      </c>
      <c r="I61" s="24">
        <v>4049.9549999999999</v>
      </c>
      <c r="J61" s="24">
        <f t="shared" si="0"/>
        <v>3644.9594999999999</v>
      </c>
      <c r="K61" s="24">
        <v>4499.95</v>
      </c>
      <c r="L61" s="24">
        <v>4499.95</v>
      </c>
      <c r="M61" s="24">
        <v>4499.95</v>
      </c>
      <c r="N61" s="24">
        <v>4499.95</v>
      </c>
      <c r="O61" s="24">
        <v>4499.95</v>
      </c>
      <c r="P61" s="24">
        <v>4499.95</v>
      </c>
      <c r="Q61" s="24">
        <v>4499.95</v>
      </c>
      <c r="R61" s="24">
        <v>4499.95</v>
      </c>
      <c r="S61" s="73">
        <v>4499.95</v>
      </c>
      <c r="T61" s="24">
        <v>4499.95</v>
      </c>
      <c r="U61" s="24">
        <v>4499.95</v>
      </c>
      <c r="V61" s="24">
        <v>4499.95</v>
      </c>
      <c r="W61" s="24">
        <v>4499.95</v>
      </c>
      <c r="X61" s="24">
        <v>4499.95</v>
      </c>
      <c r="Y61" s="24">
        <v>4499.95</v>
      </c>
      <c r="Z61" s="24">
        <v>4499.95</v>
      </c>
      <c r="AA61" s="24">
        <v>4499.95</v>
      </c>
      <c r="AB61" s="24"/>
      <c r="AC61" s="28"/>
      <c r="AD61" s="23"/>
    </row>
    <row r="62" spans="1:31" x14ac:dyDescent="0.2">
      <c r="A62" s="83" t="s">
        <v>913</v>
      </c>
      <c r="B62" s="1" t="s">
        <v>531</v>
      </c>
      <c r="C62" s="1" t="s">
        <v>471</v>
      </c>
      <c r="D62" s="1" t="s">
        <v>540</v>
      </c>
      <c r="E62" s="80" t="s">
        <v>440</v>
      </c>
      <c r="F62" s="80" t="s">
        <v>621</v>
      </c>
      <c r="G62" s="80" t="s">
        <v>443</v>
      </c>
      <c r="H62" s="80" t="s">
        <v>718</v>
      </c>
      <c r="I62" s="24">
        <v>98.954999999999998</v>
      </c>
      <c r="J62" s="24">
        <f t="shared" si="0"/>
        <v>89.0595</v>
      </c>
      <c r="K62" s="24">
        <v>109.95</v>
      </c>
      <c r="L62" s="24">
        <v>109.95</v>
      </c>
      <c r="M62" s="24">
        <v>109.95</v>
      </c>
      <c r="N62" s="24">
        <v>109.95</v>
      </c>
      <c r="O62" s="24">
        <v>109.95</v>
      </c>
      <c r="P62" s="24">
        <v>109.95</v>
      </c>
      <c r="Q62" s="24">
        <v>109.95</v>
      </c>
      <c r="R62" s="24">
        <v>109.95</v>
      </c>
      <c r="S62" s="73">
        <v>109.95</v>
      </c>
      <c r="T62" s="24">
        <v>99.95</v>
      </c>
      <c r="U62" s="24">
        <v>99.95</v>
      </c>
      <c r="V62" s="24">
        <v>99.95</v>
      </c>
      <c r="W62" s="24">
        <v>99.95</v>
      </c>
      <c r="X62" s="24">
        <v>99.95</v>
      </c>
      <c r="Y62" s="24">
        <v>99.95</v>
      </c>
      <c r="Z62" s="24">
        <v>99.95</v>
      </c>
      <c r="AA62" s="24">
        <v>99.95</v>
      </c>
      <c r="AB62" s="24"/>
      <c r="AC62" s="28"/>
      <c r="AD62" s="23"/>
    </row>
    <row r="63" spans="1:31" x14ac:dyDescent="0.2">
      <c r="A63" s="83" t="s">
        <v>913</v>
      </c>
      <c r="B63" s="1" t="s">
        <v>532</v>
      </c>
      <c r="C63" s="1" t="s">
        <v>536</v>
      </c>
      <c r="D63" s="1" t="s">
        <v>541</v>
      </c>
      <c r="E63" s="80" t="s">
        <v>440</v>
      </c>
      <c r="F63" s="80" t="s">
        <v>613</v>
      </c>
      <c r="G63" s="80" t="s">
        <v>443</v>
      </c>
      <c r="H63" s="80" t="s">
        <v>718</v>
      </c>
      <c r="I63" s="24">
        <v>116.955</v>
      </c>
      <c r="J63" s="24">
        <f t="shared" si="0"/>
        <v>105.2595</v>
      </c>
      <c r="K63" s="24">
        <v>129.94999999999999</v>
      </c>
      <c r="L63" s="24">
        <v>129.94999999999999</v>
      </c>
      <c r="M63" s="24">
        <v>129.94999999999999</v>
      </c>
      <c r="N63" s="24">
        <v>129.94999999999999</v>
      </c>
      <c r="O63" s="24">
        <v>129.94999999999999</v>
      </c>
      <c r="P63" s="24">
        <v>129.94999999999999</v>
      </c>
      <c r="Q63" s="24">
        <v>129.94999999999999</v>
      </c>
      <c r="R63" s="24">
        <v>129.94999999999999</v>
      </c>
      <c r="S63" s="73">
        <v>129.94999999999999</v>
      </c>
      <c r="T63" s="24">
        <v>119.95</v>
      </c>
      <c r="U63" s="24">
        <v>119.95</v>
      </c>
      <c r="V63" s="24">
        <v>119.95</v>
      </c>
      <c r="W63" s="24">
        <v>119.95</v>
      </c>
      <c r="X63" s="24">
        <v>119.95</v>
      </c>
      <c r="Y63" s="24">
        <v>119.95</v>
      </c>
      <c r="Z63" s="24">
        <v>119.95</v>
      </c>
      <c r="AA63" s="24">
        <v>119.95</v>
      </c>
      <c r="AB63" s="24"/>
      <c r="AC63" s="28"/>
      <c r="AD63" s="23"/>
    </row>
    <row r="64" spans="1:31" x14ac:dyDescent="0.2">
      <c r="A64" s="83" t="s">
        <v>913</v>
      </c>
      <c r="B64" s="1" t="s">
        <v>529</v>
      </c>
      <c r="C64" s="1" t="s">
        <v>521</v>
      </c>
      <c r="D64" s="1" t="s">
        <v>542</v>
      </c>
      <c r="E64" s="80" t="s">
        <v>440</v>
      </c>
      <c r="F64" s="85" t="s">
        <v>575</v>
      </c>
      <c r="G64" s="80" t="s">
        <v>443</v>
      </c>
      <c r="H64" s="80" t="s">
        <v>718</v>
      </c>
      <c r="I64" s="24">
        <v>170.95499999999998</v>
      </c>
      <c r="J64" s="24">
        <f t="shared" si="0"/>
        <v>153.8595</v>
      </c>
      <c r="K64" s="24">
        <v>189.95</v>
      </c>
      <c r="L64" s="24">
        <v>189.95</v>
      </c>
      <c r="M64" s="24">
        <v>189.95</v>
      </c>
      <c r="N64" s="24">
        <v>189.95</v>
      </c>
      <c r="O64" s="24">
        <v>189.95</v>
      </c>
      <c r="P64" s="24">
        <v>189.95</v>
      </c>
      <c r="Q64" s="24">
        <v>189.95</v>
      </c>
      <c r="R64" s="24">
        <v>189.95</v>
      </c>
      <c r="S64" s="73">
        <v>189.95</v>
      </c>
      <c r="T64" s="24">
        <v>179.95</v>
      </c>
      <c r="U64" s="24">
        <v>179.95</v>
      </c>
      <c r="V64" s="24">
        <v>179.95</v>
      </c>
      <c r="W64" s="24">
        <v>179.95</v>
      </c>
      <c r="X64" s="24">
        <v>179.95</v>
      </c>
      <c r="Y64" s="24">
        <v>179.95</v>
      </c>
      <c r="Z64" s="24">
        <v>179.95</v>
      </c>
      <c r="AA64" s="24">
        <v>179.95</v>
      </c>
      <c r="AB64" s="24"/>
      <c r="AC64" s="28"/>
      <c r="AD64" s="23"/>
    </row>
    <row r="65" spans="1:31" x14ac:dyDescent="0.2">
      <c r="A65" s="83" t="s">
        <v>913</v>
      </c>
      <c r="B65" s="1" t="s">
        <v>533</v>
      </c>
      <c r="C65" s="1" t="s">
        <v>539</v>
      </c>
      <c r="D65" s="1" t="s">
        <v>543</v>
      </c>
      <c r="E65" s="80" t="s">
        <v>440</v>
      </c>
      <c r="F65" s="80" t="s">
        <v>614</v>
      </c>
      <c r="G65" s="80" t="s">
        <v>443</v>
      </c>
      <c r="H65" s="80" t="s">
        <v>718</v>
      </c>
      <c r="I65" s="24">
        <v>161.95499999999998</v>
      </c>
      <c r="J65" s="24">
        <f t="shared" si="0"/>
        <v>145.7595</v>
      </c>
      <c r="K65" s="24">
        <v>179.95</v>
      </c>
      <c r="L65" s="24">
        <v>179.95</v>
      </c>
      <c r="M65" s="24">
        <v>179.95</v>
      </c>
      <c r="N65" s="24">
        <v>179.95</v>
      </c>
      <c r="O65" s="24">
        <v>179.95</v>
      </c>
      <c r="P65" s="24">
        <v>179.95</v>
      </c>
      <c r="Q65" s="24">
        <v>179.95</v>
      </c>
      <c r="R65" s="24">
        <v>179.95</v>
      </c>
      <c r="S65" s="73">
        <v>179.95</v>
      </c>
      <c r="T65" s="24">
        <v>169.95</v>
      </c>
      <c r="U65" s="24">
        <v>169.95</v>
      </c>
      <c r="V65" s="24">
        <v>169.95</v>
      </c>
      <c r="W65" s="24">
        <v>169.95</v>
      </c>
      <c r="X65" s="24">
        <v>169.95</v>
      </c>
      <c r="Y65" s="24">
        <v>169.95</v>
      </c>
      <c r="Z65" s="24">
        <v>169.95</v>
      </c>
      <c r="AA65" s="24">
        <v>169.95</v>
      </c>
      <c r="AB65" s="24"/>
      <c r="AC65" s="28"/>
      <c r="AD65" s="23"/>
    </row>
    <row r="66" spans="1:31" x14ac:dyDescent="0.2">
      <c r="A66" s="83" t="s">
        <v>913</v>
      </c>
      <c r="B66" s="1" t="s">
        <v>534</v>
      </c>
      <c r="C66" s="1" t="s">
        <v>538</v>
      </c>
      <c r="D66" s="1" t="s">
        <v>544</v>
      </c>
      <c r="E66" s="80" t="s">
        <v>440</v>
      </c>
      <c r="F66" s="80" t="s">
        <v>615</v>
      </c>
      <c r="G66" s="80" t="s">
        <v>443</v>
      </c>
      <c r="H66" s="80" t="s">
        <v>718</v>
      </c>
      <c r="I66" s="24">
        <v>188.95499999999998</v>
      </c>
      <c r="J66" s="24">
        <f t="shared" si="0"/>
        <v>170.05949999999999</v>
      </c>
      <c r="K66" s="24">
        <v>209.95</v>
      </c>
      <c r="L66" s="24">
        <v>209.95</v>
      </c>
      <c r="M66" s="24">
        <v>209.95</v>
      </c>
      <c r="N66" s="24">
        <v>209.95</v>
      </c>
      <c r="O66" s="24">
        <v>209.95</v>
      </c>
      <c r="P66" s="24">
        <v>209.95</v>
      </c>
      <c r="Q66" s="24">
        <v>209.95</v>
      </c>
      <c r="R66" s="24">
        <v>209.95</v>
      </c>
      <c r="S66" s="73">
        <v>209.95</v>
      </c>
      <c r="T66" s="24">
        <v>199.95</v>
      </c>
      <c r="U66" s="24">
        <v>199.95</v>
      </c>
      <c r="V66" s="24">
        <v>199.95</v>
      </c>
      <c r="W66" s="24">
        <v>199.95</v>
      </c>
      <c r="X66" s="24">
        <v>199.95</v>
      </c>
      <c r="Y66" s="24">
        <v>199.95</v>
      </c>
      <c r="Z66" s="24">
        <v>199.95</v>
      </c>
      <c r="AA66" s="24">
        <v>199.95</v>
      </c>
      <c r="AB66" s="24"/>
      <c r="AC66" s="28"/>
      <c r="AD66" s="23"/>
    </row>
    <row r="67" spans="1:31" x14ac:dyDescent="0.2">
      <c r="A67" s="83" t="s">
        <v>913</v>
      </c>
      <c r="B67" s="1" t="s">
        <v>535</v>
      </c>
      <c r="C67" s="1" t="s">
        <v>537</v>
      </c>
      <c r="D67" s="1" t="s">
        <v>545</v>
      </c>
      <c r="E67" s="80" t="s">
        <v>440</v>
      </c>
      <c r="F67" s="80" t="s">
        <v>616</v>
      </c>
      <c r="G67" s="80" t="s">
        <v>443</v>
      </c>
      <c r="H67" s="80" t="s">
        <v>718</v>
      </c>
      <c r="I67" s="24">
        <v>233.95499999999998</v>
      </c>
      <c r="J67" s="24">
        <f t="shared" si="0"/>
        <v>210.55949999999999</v>
      </c>
      <c r="K67" s="24">
        <v>259.95</v>
      </c>
      <c r="L67" s="24">
        <v>259.95</v>
      </c>
      <c r="M67" s="24">
        <v>259.95</v>
      </c>
      <c r="N67" s="24">
        <v>259.95</v>
      </c>
      <c r="O67" s="24">
        <v>259.95</v>
      </c>
      <c r="P67" s="24">
        <v>259.95</v>
      </c>
      <c r="Q67" s="24">
        <v>259.95</v>
      </c>
      <c r="R67" s="24">
        <v>259.95</v>
      </c>
      <c r="S67" s="73">
        <v>259.95</v>
      </c>
      <c r="T67" s="24">
        <v>239.95</v>
      </c>
      <c r="U67" s="24">
        <v>239.95</v>
      </c>
      <c r="V67" s="24">
        <v>239.95</v>
      </c>
      <c r="W67" s="24">
        <v>239.95</v>
      </c>
      <c r="X67" s="24">
        <v>239.95</v>
      </c>
      <c r="Y67" s="24">
        <v>239.95</v>
      </c>
      <c r="Z67" s="24">
        <v>239.95</v>
      </c>
      <c r="AA67" s="24">
        <v>239.95</v>
      </c>
      <c r="AB67" s="24"/>
      <c r="AC67" s="28"/>
      <c r="AD67" s="23"/>
    </row>
    <row r="68" spans="1:31" x14ac:dyDescent="0.2">
      <c r="A68" s="83" t="s">
        <v>913</v>
      </c>
      <c r="B68" s="1" t="s">
        <v>530</v>
      </c>
      <c r="C68" s="1" t="s">
        <v>522</v>
      </c>
      <c r="D68" s="1" t="s">
        <v>546</v>
      </c>
      <c r="E68" s="80" t="s">
        <v>440</v>
      </c>
      <c r="F68" s="85" t="s">
        <v>576</v>
      </c>
      <c r="G68" s="80" t="s">
        <v>443</v>
      </c>
      <c r="H68" s="80" t="s">
        <v>718</v>
      </c>
      <c r="I68" s="24">
        <v>278.95499999999998</v>
      </c>
      <c r="J68" s="24">
        <f t="shared" ref="J68:J131" si="1">I68*0.9</f>
        <v>251.05949999999999</v>
      </c>
      <c r="K68" s="24">
        <v>309.95</v>
      </c>
      <c r="L68" s="24">
        <v>309.95</v>
      </c>
      <c r="M68" s="24">
        <v>309.95</v>
      </c>
      <c r="N68" s="24">
        <v>309.95</v>
      </c>
      <c r="O68" s="24">
        <v>309.95</v>
      </c>
      <c r="P68" s="24">
        <v>309.95</v>
      </c>
      <c r="Q68" s="24">
        <v>309.95</v>
      </c>
      <c r="R68" s="24">
        <v>309.95</v>
      </c>
      <c r="S68" s="73">
        <v>309.95</v>
      </c>
      <c r="T68" s="24">
        <v>289.95</v>
      </c>
      <c r="U68" s="24">
        <v>289.95</v>
      </c>
      <c r="V68" s="24">
        <v>289.95</v>
      </c>
      <c r="W68" s="24">
        <v>289.95</v>
      </c>
      <c r="X68" s="24">
        <v>289.95</v>
      </c>
      <c r="Y68" s="24">
        <v>289.95</v>
      </c>
      <c r="Z68" s="24">
        <v>289.95</v>
      </c>
      <c r="AA68" s="24">
        <v>289.95</v>
      </c>
      <c r="AB68" s="24"/>
      <c r="AC68" s="28"/>
      <c r="AD68" s="23"/>
    </row>
    <row r="69" spans="1:31" x14ac:dyDescent="0.2">
      <c r="A69" s="83" t="s">
        <v>913</v>
      </c>
      <c r="B69" s="1" t="s">
        <v>588</v>
      </c>
      <c r="C69" s="1" t="s">
        <v>599</v>
      </c>
      <c r="D69" s="1" t="s">
        <v>590</v>
      </c>
      <c r="E69" s="80" t="s">
        <v>440</v>
      </c>
      <c r="F69" s="85" t="s">
        <v>857</v>
      </c>
      <c r="G69" s="80" t="s">
        <v>443</v>
      </c>
      <c r="H69" s="80" t="s">
        <v>718</v>
      </c>
      <c r="I69" s="24">
        <v>359.95499999999998</v>
      </c>
      <c r="J69" s="24">
        <f t="shared" si="1"/>
        <v>323.95949999999999</v>
      </c>
      <c r="K69" s="24">
        <v>399.95</v>
      </c>
      <c r="L69" s="24">
        <v>399.95</v>
      </c>
      <c r="M69" s="24">
        <v>399.95</v>
      </c>
      <c r="N69" s="24">
        <v>399.95</v>
      </c>
      <c r="O69" s="24">
        <v>399.95</v>
      </c>
      <c r="P69" s="24" t="s">
        <v>41</v>
      </c>
      <c r="Q69" s="24" t="s">
        <v>41</v>
      </c>
      <c r="R69" s="24" t="s">
        <v>41</v>
      </c>
      <c r="S69" s="73" t="s">
        <v>41</v>
      </c>
      <c r="T69" s="24" t="s">
        <v>41</v>
      </c>
      <c r="U69" s="24" t="s">
        <v>41</v>
      </c>
      <c r="V69" s="24" t="s">
        <v>41</v>
      </c>
      <c r="W69" s="24" t="s">
        <v>41</v>
      </c>
      <c r="X69" s="24" t="s">
        <v>41</v>
      </c>
      <c r="Y69" s="24" t="s">
        <v>41</v>
      </c>
      <c r="Z69" s="24" t="s">
        <v>41</v>
      </c>
      <c r="AA69" s="24" t="s">
        <v>41</v>
      </c>
      <c r="AB69" s="24"/>
      <c r="AC69" s="28"/>
      <c r="AD69" s="23"/>
    </row>
    <row r="70" spans="1:31" x14ac:dyDescent="0.2">
      <c r="A70" s="83" t="s">
        <v>913</v>
      </c>
      <c r="B70" s="1" t="s">
        <v>528</v>
      </c>
      <c r="C70" s="1" t="s">
        <v>279</v>
      </c>
      <c r="D70" s="1" t="s">
        <v>143</v>
      </c>
      <c r="E70" s="80" t="s">
        <v>440</v>
      </c>
      <c r="F70" s="80" t="s">
        <v>280</v>
      </c>
      <c r="G70" s="80" t="s">
        <v>443</v>
      </c>
      <c r="H70" s="80" t="s">
        <v>718</v>
      </c>
      <c r="I70" s="24">
        <v>107.955</v>
      </c>
      <c r="J70" s="24">
        <f t="shared" si="1"/>
        <v>97.159499999999994</v>
      </c>
      <c r="K70" s="24">
        <v>119.95</v>
      </c>
      <c r="L70" s="24">
        <v>119.95</v>
      </c>
      <c r="M70" s="24">
        <v>119.95</v>
      </c>
      <c r="N70" s="24">
        <v>119.95</v>
      </c>
      <c r="O70" s="24">
        <v>119.95</v>
      </c>
      <c r="P70" s="24">
        <v>119.95</v>
      </c>
      <c r="Q70" s="24">
        <v>119.95</v>
      </c>
      <c r="R70" s="24">
        <v>119.95</v>
      </c>
      <c r="S70" s="73">
        <v>119.95</v>
      </c>
      <c r="T70" s="24">
        <v>109.95</v>
      </c>
      <c r="U70" s="24">
        <v>109.95</v>
      </c>
      <c r="V70" s="24">
        <v>109.95</v>
      </c>
      <c r="W70" s="24">
        <v>109.95</v>
      </c>
      <c r="X70" s="24">
        <v>109.95</v>
      </c>
      <c r="Y70" s="24">
        <v>109.95</v>
      </c>
      <c r="Z70" s="24">
        <v>109.95</v>
      </c>
      <c r="AA70" s="24">
        <v>109.95</v>
      </c>
      <c r="AB70" s="24"/>
      <c r="AC70" s="28"/>
      <c r="AD70" s="23"/>
    </row>
    <row r="71" spans="1:31" x14ac:dyDescent="0.2">
      <c r="A71" s="83" t="s">
        <v>913</v>
      </c>
      <c r="B71" s="1" t="s">
        <v>687</v>
      </c>
      <c r="C71" s="1" t="s">
        <v>557</v>
      </c>
      <c r="D71" s="1" t="s">
        <v>142</v>
      </c>
      <c r="E71" s="80" t="s">
        <v>440</v>
      </c>
      <c r="F71" s="85" t="s">
        <v>362</v>
      </c>
      <c r="G71" s="80" t="s">
        <v>443</v>
      </c>
      <c r="H71" s="80" t="s">
        <v>718</v>
      </c>
      <c r="I71" s="24">
        <v>5039.9549999999999</v>
      </c>
      <c r="J71" s="24">
        <f t="shared" si="1"/>
        <v>4535.9594999999999</v>
      </c>
      <c r="K71" s="24">
        <v>5599.95</v>
      </c>
      <c r="L71" s="24">
        <v>5599.95</v>
      </c>
      <c r="M71" s="24">
        <v>5599.95</v>
      </c>
      <c r="N71" s="24">
        <v>5599.95</v>
      </c>
      <c r="O71" s="24">
        <v>5599.95</v>
      </c>
      <c r="P71" s="24">
        <v>5599.95</v>
      </c>
      <c r="Q71" s="24">
        <v>5599.95</v>
      </c>
      <c r="R71" s="24">
        <v>5599.95</v>
      </c>
      <c r="S71" s="73">
        <v>5599.95</v>
      </c>
      <c r="T71" s="24">
        <v>5499.95</v>
      </c>
      <c r="U71" s="24">
        <v>5499.95</v>
      </c>
      <c r="V71" s="24">
        <v>5499.95</v>
      </c>
      <c r="W71" s="24">
        <v>5499.95</v>
      </c>
      <c r="X71" s="24">
        <v>5499.95</v>
      </c>
      <c r="Y71" s="24">
        <v>5499.95</v>
      </c>
      <c r="Z71" s="24">
        <v>5499.95</v>
      </c>
      <c r="AA71" s="24">
        <v>5499.95</v>
      </c>
      <c r="AB71" s="24"/>
      <c r="AC71" s="28"/>
      <c r="AD71" s="23"/>
    </row>
    <row r="72" spans="1:31" x14ac:dyDescent="0.2">
      <c r="A72" s="83" t="s">
        <v>913</v>
      </c>
      <c r="B72" s="1" t="s">
        <v>688</v>
      </c>
      <c r="C72" s="1" t="s">
        <v>549</v>
      </c>
      <c r="D72" s="1" t="s">
        <v>416</v>
      </c>
      <c r="E72" s="80" t="s">
        <v>440</v>
      </c>
      <c r="F72" s="85" t="s">
        <v>417</v>
      </c>
      <c r="G72" s="80" t="s">
        <v>443</v>
      </c>
      <c r="H72" s="80" t="s">
        <v>718</v>
      </c>
      <c r="I72" s="24">
        <v>7559.9550000000008</v>
      </c>
      <c r="J72" s="24">
        <f t="shared" si="1"/>
        <v>6803.9595000000008</v>
      </c>
      <c r="K72" s="24">
        <v>8399.9500000000007</v>
      </c>
      <c r="L72" s="24">
        <v>8399.9500000000007</v>
      </c>
      <c r="M72" s="24">
        <v>8399.9500000000007</v>
      </c>
      <c r="N72" s="24">
        <v>8399.9500000000007</v>
      </c>
      <c r="O72" s="24">
        <v>8399.9500000000007</v>
      </c>
      <c r="P72" s="24">
        <v>8399.9500000000007</v>
      </c>
      <c r="Q72" s="24">
        <v>8399.9500000000007</v>
      </c>
      <c r="R72" s="24">
        <v>8399.9500000000007</v>
      </c>
      <c r="S72" s="73">
        <v>8399.9500000000007</v>
      </c>
      <c r="T72" s="24">
        <v>8199.9500000000007</v>
      </c>
      <c r="U72" s="24">
        <v>8199.9500000000007</v>
      </c>
      <c r="V72" s="24">
        <v>8199.9500000000007</v>
      </c>
      <c r="W72" s="24">
        <v>8199.9500000000007</v>
      </c>
      <c r="X72" s="24">
        <v>8199.9500000000007</v>
      </c>
      <c r="Y72" s="24">
        <v>8199.9500000000007</v>
      </c>
      <c r="Z72" s="24">
        <v>8199.9500000000007</v>
      </c>
      <c r="AA72" s="24">
        <v>7999.95</v>
      </c>
      <c r="AB72" s="24"/>
      <c r="AC72" s="28"/>
      <c r="AD72" s="23"/>
    </row>
    <row r="73" spans="1:31" s="3" customFormat="1" x14ac:dyDescent="0.2">
      <c r="A73" s="83" t="s">
        <v>913</v>
      </c>
      <c r="B73" s="1" t="s">
        <v>689</v>
      </c>
      <c r="C73" s="1" t="s">
        <v>920</v>
      </c>
      <c r="D73" s="1" t="s">
        <v>698</v>
      </c>
      <c r="E73" s="80" t="s">
        <v>440</v>
      </c>
      <c r="F73" s="80" t="s">
        <v>858</v>
      </c>
      <c r="G73" s="80" t="s">
        <v>443</v>
      </c>
      <c r="H73" s="80" t="s">
        <v>718</v>
      </c>
      <c r="I73" s="24">
        <v>8279.9550000000017</v>
      </c>
      <c r="J73" s="24">
        <f t="shared" si="1"/>
        <v>7451.9595000000018</v>
      </c>
      <c r="K73" s="24">
        <v>9199.9500000000007</v>
      </c>
      <c r="L73" s="24">
        <v>9199.9500000000007</v>
      </c>
      <c r="M73" s="24">
        <v>9199.9500000000007</v>
      </c>
      <c r="N73" s="24">
        <v>9199.9500000000007</v>
      </c>
      <c r="O73" s="24">
        <v>9199.9500000000007</v>
      </c>
      <c r="P73" s="24">
        <v>9199.9500000000007</v>
      </c>
      <c r="Q73" s="24">
        <v>9199.9500000000007</v>
      </c>
      <c r="R73" s="24">
        <v>9199.9500000000007</v>
      </c>
      <c r="S73" s="73">
        <v>9199.9500000000007</v>
      </c>
      <c r="T73" s="24">
        <v>8999.9500000000007</v>
      </c>
      <c r="U73" s="24">
        <v>8999.9500000000007</v>
      </c>
      <c r="V73" s="24">
        <v>8999.9500000000007</v>
      </c>
      <c r="W73" s="24">
        <v>8999.9500000000007</v>
      </c>
      <c r="X73" s="24">
        <v>8999.9500000000007</v>
      </c>
      <c r="Y73" s="24">
        <v>8999.9500000000007</v>
      </c>
      <c r="Z73" s="24">
        <v>8999.9500000000007</v>
      </c>
      <c r="AA73" s="24">
        <v>8999.9500000000007</v>
      </c>
      <c r="AB73" s="24"/>
      <c r="AC73" s="28"/>
      <c r="AD73" s="23"/>
      <c r="AE73" s="1"/>
    </row>
    <row r="74" spans="1:31" x14ac:dyDescent="0.2">
      <c r="A74" s="83" t="s">
        <v>913</v>
      </c>
      <c r="B74" s="1" t="s">
        <v>896</v>
      </c>
      <c r="C74" s="1" t="s">
        <v>921</v>
      </c>
      <c r="D74" s="1" t="s">
        <v>922</v>
      </c>
      <c r="E74" s="80" t="s">
        <v>440</v>
      </c>
      <c r="F74" s="1" t="s">
        <v>905</v>
      </c>
      <c r="G74" s="1" t="s">
        <v>443</v>
      </c>
      <c r="H74" s="80" t="s">
        <v>718</v>
      </c>
      <c r="I74" s="24">
        <v>8279.9550000000017</v>
      </c>
      <c r="J74" s="24">
        <f t="shared" si="1"/>
        <v>7451.9595000000018</v>
      </c>
    </row>
    <row r="75" spans="1:31" x14ac:dyDescent="0.2">
      <c r="A75" s="83" t="s">
        <v>913</v>
      </c>
      <c r="B75" s="1" t="s">
        <v>897</v>
      </c>
      <c r="C75" s="1" t="s">
        <v>923</v>
      </c>
      <c r="D75" s="1" t="s">
        <v>924</v>
      </c>
      <c r="E75" s="80" t="s">
        <v>440</v>
      </c>
      <c r="F75" s="1" t="s">
        <v>418</v>
      </c>
      <c r="G75" s="1" t="s">
        <v>443</v>
      </c>
      <c r="H75" s="80" t="s">
        <v>718</v>
      </c>
      <c r="I75" s="24">
        <v>917.95500000000004</v>
      </c>
      <c r="J75" s="24">
        <f t="shared" si="1"/>
        <v>826.15950000000009</v>
      </c>
    </row>
    <row r="76" spans="1:31" x14ac:dyDescent="0.2">
      <c r="A76" s="1" t="s">
        <v>732</v>
      </c>
      <c r="B76" s="67" t="s">
        <v>893</v>
      </c>
      <c r="C76" s="67" t="s">
        <v>925</v>
      </c>
      <c r="D76" s="67" t="s">
        <v>926</v>
      </c>
      <c r="E76" s="84" t="s">
        <v>440</v>
      </c>
      <c r="F76" s="67" t="s">
        <v>902</v>
      </c>
      <c r="G76" s="67" t="s">
        <v>445</v>
      </c>
      <c r="H76" s="84" t="s">
        <v>732</v>
      </c>
      <c r="I76" s="68">
        <v>8549.9550000000017</v>
      </c>
      <c r="J76" s="24">
        <f t="shared" si="1"/>
        <v>7694.9595000000018</v>
      </c>
    </row>
    <row r="77" spans="1:31" s="3" customFormat="1" x14ac:dyDescent="0.2">
      <c r="A77" s="83" t="s">
        <v>913</v>
      </c>
      <c r="B77" s="1" t="s">
        <v>561</v>
      </c>
      <c r="C77" s="1" t="s">
        <v>562</v>
      </c>
      <c r="D77" s="1" t="s">
        <v>492</v>
      </c>
      <c r="E77" s="80" t="s">
        <v>440</v>
      </c>
      <c r="F77" s="80" t="s">
        <v>567</v>
      </c>
      <c r="G77" s="80" t="s">
        <v>443</v>
      </c>
      <c r="H77" s="80" t="s">
        <v>718</v>
      </c>
      <c r="I77" s="24">
        <v>2240.9549999999999</v>
      </c>
      <c r="J77" s="24">
        <f t="shared" si="1"/>
        <v>2016.8595</v>
      </c>
      <c r="K77" s="24">
        <v>2489.9499999999998</v>
      </c>
      <c r="L77" s="24">
        <v>2489.9499999999998</v>
      </c>
      <c r="M77" s="24">
        <v>2489.9499999999998</v>
      </c>
      <c r="N77" s="24">
        <v>2489.9499999999998</v>
      </c>
      <c r="O77" s="24">
        <v>2489.9499999999998</v>
      </c>
      <c r="P77" s="24">
        <v>2489.9499999999998</v>
      </c>
      <c r="Q77" s="24">
        <v>2489.9499999999998</v>
      </c>
      <c r="R77" s="24">
        <v>2489.9499999999998</v>
      </c>
      <c r="S77" s="73">
        <v>2489.9499999999998</v>
      </c>
      <c r="T77" s="24">
        <v>2329.9499999999998</v>
      </c>
      <c r="U77" s="24">
        <v>2329.9499999999998</v>
      </c>
      <c r="V77" s="24">
        <v>2329.9499999999998</v>
      </c>
      <c r="W77" s="24">
        <v>2329.9499999999998</v>
      </c>
      <c r="X77" s="24">
        <v>2329.9499999999998</v>
      </c>
      <c r="Y77" s="24">
        <v>2329.9499999999998</v>
      </c>
      <c r="Z77" s="24">
        <v>2329.9499999999998</v>
      </c>
      <c r="AA77" s="24">
        <v>2329.9499999999998</v>
      </c>
      <c r="AB77" s="24"/>
      <c r="AC77" s="28"/>
      <c r="AD77" s="23"/>
      <c r="AE77" s="1"/>
    </row>
    <row r="78" spans="1:31" s="3" customFormat="1" x14ac:dyDescent="0.2">
      <c r="A78" s="83" t="s">
        <v>913</v>
      </c>
      <c r="B78" s="1" t="s">
        <v>619</v>
      </c>
      <c r="C78" s="1" t="s">
        <v>620</v>
      </c>
      <c r="D78" s="1" t="s">
        <v>618</v>
      </c>
      <c r="E78" s="80" t="s">
        <v>440</v>
      </c>
      <c r="F78" s="80" t="s">
        <v>691</v>
      </c>
      <c r="G78" s="80" t="s">
        <v>443</v>
      </c>
      <c r="H78" s="80" t="s">
        <v>718</v>
      </c>
      <c r="I78" s="24">
        <v>9629.9550000000017</v>
      </c>
      <c r="J78" s="24">
        <f t="shared" si="1"/>
        <v>8666.9595000000027</v>
      </c>
      <c r="K78" s="24">
        <v>10699.95</v>
      </c>
      <c r="L78" s="24">
        <v>10699.95</v>
      </c>
      <c r="M78" s="24">
        <v>10699.95</v>
      </c>
      <c r="N78" s="24">
        <v>10699.95</v>
      </c>
      <c r="O78" s="24">
        <v>10699.95</v>
      </c>
      <c r="P78" s="24">
        <v>10699.95</v>
      </c>
      <c r="Q78" s="24">
        <v>10699.95</v>
      </c>
      <c r="R78" s="24">
        <v>10699.95</v>
      </c>
      <c r="S78" s="73">
        <v>10699.95</v>
      </c>
      <c r="T78" s="24">
        <v>9999.9500000000007</v>
      </c>
      <c r="U78" s="24">
        <v>9999.9500000000007</v>
      </c>
      <c r="V78" s="24">
        <v>9999.9500000000007</v>
      </c>
      <c r="W78" s="24">
        <v>9999.9500000000007</v>
      </c>
      <c r="X78" s="24">
        <v>9999.9500000000007</v>
      </c>
      <c r="Y78" s="24">
        <v>9999.9500000000007</v>
      </c>
      <c r="Z78" s="24">
        <v>9999.9500000000007</v>
      </c>
      <c r="AA78" s="24">
        <v>9999.9500000000007</v>
      </c>
      <c r="AB78" s="24"/>
      <c r="AC78" s="28"/>
      <c r="AD78" s="23"/>
      <c r="AE78" s="1"/>
    </row>
    <row r="79" spans="1:31" x14ac:dyDescent="0.2">
      <c r="A79" s="83" t="s">
        <v>913</v>
      </c>
      <c r="B79" s="1" t="s">
        <v>479</v>
      </c>
      <c r="C79" s="1" t="s">
        <v>144</v>
      </c>
      <c r="D79" s="1" t="s">
        <v>145</v>
      </c>
      <c r="E79" s="80" t="s">
        <v>440</v>
      </c>
      <c r="F79" s="85" t="s">
        <v>326</v>
      </c>
      <c r="G79" s="80" t="s">
        <v>443</v>
      </c>
      <c r="H79" s="80" t="s">
        <v>718</v>
      </c>
      <c r="I79" s="24">
        <v>1493.9550000000002</v>
      </c>
      <c r="J79" s="24">
        <f t="shared" si="1"/>
        <v>1344.5595000000001</v>
      </c>
      <c r="K79" s="24">
        <v>1659.95</v>
      </c>
      <c r="L79" s="24">
        <v>1659.95</v>
      </c>
      <c r="M79" s="24">
        <v>1659.95</v>
      </c>
      <c r="N79" s="24">
        <v>1659.95</v>
      </c>
      <c r="O79" s="24">
        <v>1659.95</v>
      </c>
      <c r="P79" s="24">
        <v>1659.95</v>
      </c>
      <c r="Q79" s="24">
        <v>1659.95</v>
      </c>
      <c r="R79" s="24">
        <v>1659.95</v>
      </c>
      <c r="S79" s="73">
        <v>1659.95</v>
      </c>
      <c r="T79" s="24">
        <v>1549.95</v>
      </c>
      <c r="U79" s="24">
        <v>1549.95</v>
      </c>
      <c r="V79" s="24">
        <v>1549.95</v>
      </c>
      <c r="W79" s="24">
        <v>1549.95</v>
      </c>
      <c r="X79" s="24">
        <v>1549.95</v>
      </c>
      <c r="Y79" s="24">
        <v>1549.95</v>
      </c>
      <c r="Z79" s="24">
        <v>1549.95</v>
      </c>
      <c r="AA79" s="24">
        <v>1549.95</v>
      </c>
      <c r="AB79" s="24"/>
      <c r="AC79" s="28"/>
      <c r="AD79" s="23"/>
    </row>
    <row r="80" spans="1:31" x14ac:dyDescent="0.2">
      <c r="A80" s="83" t="s">
        <v>913</v>
      </c>
      <c r="B80" s="1" t="s">
        <v>34</v>
      </c>
      <c r="C80" s="1" t="s">
        <v>146</v>
      </c>
      <c r="D80" s="1" t="s">
        <v>147</v>
      </c>
      <c r="E80" s="80" t="s">
        <v>440</v>
      </c>
      <c r="F80" s="85" t="s">
        <v>359</v>
      </c>
      <c r="G80" s="80" t="s">
        <v>443</v>
      </c>
      <c r="H80" s="80" t="s">
        <v>718</v>
      </c>
      <c r="I80" s="24">
        <v>3914.9549999999999</v>
      </c>
      <c r="J80" s="24">
        <f t="shared" si="1"/>
        <v>3523.4594999999999</v>
      </c>
      <c r="K80" s="24">
        <v>4349.95</v>
      </c>
      <c r="L80" s="24">
        <v>4349.95</v>
      </c>
      <c r="M80" s="24">
        <v>4349.95</v>
      </c>
      <c r="N80" s="24">
        <v>4349.95</v>
      </c>
      <c r="O80" s="24">
        <v>4349.95</v>
      </c>
      <c r="P80" s="24">
        <v>4349.95</v>
      </c>
      <c r="Q80" s="24">
        <v>4349.95</v>
      </c>
      <c r="R80" s="24">
        <v>4349.95</v>
      </c>
      <c r="S80" s="73">
        <v>4349.95</v>
      </c>
      <c r="T80" s="24">
        <v>4069.95</v>
      </c>
      <c r="U80" s="24">
        <v>4069.95</v>
      </c>
      <c r="V80" s="24">
        <v>4069.95</v>
      </c>
      <c r="W80" s="24">
        <v>4069.95</v>
      </c>
      <c r="X80" s="24">
        <v>4069.95</v>
      </c>
      <c r="Y80" s="24">
        <v>4069.95</v>
      </c>
      <c r="Z80" s="24">
        <v>4069.95</v>
      </c>
      <c r="AA80" s="24">
        <v>4069.95</v>
      </c>
      <c r="AB80" s="24"/>
      <c r="AC80" s="28"/>
      <c r="AD80" s="23"/>
    </row>
    <row r="81" spans="1:30" x14ac:dyDescent="0.2">
      <c r="A81" s="83" t="s">
        <v>913</v>
      </c>
      <c r="B81" s="1" t="s">
        <v>32</v>
      </c>
      <c r="C81" s="1" t="s">
        <v>33</v>
      </c>
      <c r="D81" s="1" t="s">
        <v>148</v>
      </c>
      <c r="E81" s="80" t="s">
        <v>440</v>
      </c>
      <c r="F81" s="85" t="s">
        <v>354</v>
      </c>
      <c r="G81" s="80" t="s">
        <v>443</v>
      </c>
      <c r="H81" s="80" t="s">
        <v>718</v>
      </c>
      <c r="I81" s="24">
        <v>431.95499999999998</v>
      </c>
      <c r="J81" s="24">
        <f t="shared" si="1"/>
        <v>388.7595</v>
      </c>
      <c r="K81" s="24">
        <v>479.95</v>
      </c>
      <c r="L81" s="24">
        <v>479.95</v>
      </c>
      <c r="M81" s="24">
        <v>479.95</v>
      </c>
      <c r="N81" s="24">
        <v>479.95</v>
      </c>
      <c r="O81" s="24">
        <v>479.95</v>
      </c>
      <c r="P81" s="24">
        <v>479.95</v>
      </c>
      <c r="Q81" s="24">
        <v>479.95</v>
      </c>
      <c r="R81" s="24">
        <v>479.95</v>
      </c>
      <c r="S81" s="73">
        <v>479.95</v>
      </c>
      <c r="T81" s="24">
        <v>449.95</v>
      </c>
      <c r="U81" s="24">
        <v>449.95</v>
      </c>
      <c r="V81" s="24">
        <v>449.95</v>
      </c>
      <c r="W81" s="24">
        <v>449.95</v>
      </c>
      <c r="X81" s="24">
        <v>449.95</v>
      </c>
      <c r="Y81" s="24">
        <v>449.95</v>
      </c>
      <c r="Z81" s="24">
        <v>449.95</v>
      </c>
      <c r="AA81" s="24">
        <v>449.95</v>
      </c>
      <c r="AB81" s="24"/>
      <c r="AC81" s="28"/>
      <c r="AD81" s="23"/>
    </row>
    <row r="82" spans="1:30" x14ac:dyDescent="0.2">
      <c r="A82" s="83" t="s">
        <v>913</v>
      </c>
      <c r="B82" s="1" t="s">
        <v>894</v>
      </c>
      <c r="C82" s="1" t="s">
        <v>927</v>
      </c>
      <c r="D82" s="1" t="s">
        <v>928</v>
      </c>
      <c r="E82" s="80" t="s">
        <v>440</v>
      </c>
      <c r="F82" s="1" t="s">
        <v>903</v>
      </c>
      <c r="G82" s="1" t="s">
        <v>443</v>
      </c>
      <c r="H82" s="80" t="s">
        <v>718</v>
      </c>
      <c r="I82" s="24">
        <v>674.95500000000004</v>
      </c>
      <c r="J82" s="24">
        <f t="shared" si="1"/>
        <v>607.45950000000005</v>
      </c>
    </row>
    <row r="83" spans="1:30" x14ac:dyDescent="0.2">
      <c r="A83" s="83" t="s">
        <v>913</v>
      </c>
      <c r="B83" s="1" t="s">
        <v>898</v>
      </c>
      <c r="C83" s="1" t="s">
        <v>916</v>
      </c>
      <c r="D83" s="1" t="s">
        <v>929</v>
      </c>
      <c r="E83" s="80" t="s">
        <v>440</v>
      </c>
      <c r="F83" s="80" t="s">
        <v>223</v>
      </c>
      <c r="G83" s="80" t="s">
        <v>443</v>
      </c>
      <c r="H83" s="80" t="s">
        <v>718</v>
      </c>
      <c r="I83" s="24">
        <v>584.95500000000004</v>
      </c>
      <c r="J83" s="24">
        <f t="shared" si="1"/>
        <v>526.45950000000005</v>
      </c>
    </row>
    <row r="84" spans="1:30" x14ac:dyDescent="0.2">
      <c r="A84" s="83" t="s">
        <v>913</v>
      </c>
      <c r="B84" s="1" t="s">
        <v>27</v>
      </c>
      <c r="C84" s="1" t="s">
        <v>28</v>
      </c>
      <c r="D84" s="1" t="s">
        <v>149</v>
      </c>
      <c r="E84" s="80" t="s">
        <v>440</v>
      </c>
      <c r="F84" s="85" t="s">
        <v>360</v>
      </c>
      <c r="G84" s="80" t="s">
        <v>443</v>
      </c>
      <c r="H84" s="80" t="s">
        <v>718</v>
      </c>
      <c r="I84" s="24">
        <v>3464.9549999999999</v>
      </c>
      <c r="J84" s="24">
        <f t="shared" si="1"/>
        <v>3118.4594999999999</v>
      </c>
      <c r="K84" s="24">
        <v>3849.95</v>
      </c>
      <c r="L84" s="24">
        <v>3849.95</v>
      </c>
      <c r="M84" s="24">
        <v>3849.95</v>
      </c>
      <c r="N84" s="24">
        <v>3849.95</v>
      </c>
      <c r="O84" s="24">
        <v>3849.95</v>
      </c>
      <c r="P84" s="24">
        <v>3849.95</v>
      </c>
      <c r="Q84" s="24">
        <v>3849.95</v>
      </c>
      <c r="R84" s="24">
        <v>3849.95</v>
      </c>
      <c r="S84" s="73">
        <v>3849.95</v>
      </c>
      <c r="T84" s="24">
        <v>3599.95</v>
      </c>
      <c r="U84" s="24">
        <v>3599.95</v>
      </c>
      <c r="V84" s="24">
        <v>3599.95</v>
      </c>
      <c r="W84" s="24">
        <v>3599.95</v>
      </c>
      <c r="X84" s="24">
        <v>3599.95</v>
      </c>
      <c r="Y84" s="24">
        <v>3599.95</v>
      </c>
      <c r="Z84" s="24">
        <v>3599.95</v>
      </c>
      <c r="AA84" s="24">
        <v>3599.95</v>
      </c>
      <c r="AB84" s="24"/>
      <c r="AC84" s="28"/>
      <c r="AD84" s="23"/>
    </row>
    <row r="85" spans="1:30" x14ac:dyDescent="0.2">
      <c r="A85" s="83" t="s">
        <v>913</v>
      </c>
      <c r="B85" s="1" t="s">
        <v>24</v>
      </c>
      <c r="C85" s="1" t="s">
        <v>25</v>
      </c>
      <c r="D85" s="1" t="s">
        <v>150</v>
      </c>
      <c r="E85" s="80" t="s">
        <v>440</v>
      </c>
      <c r="F85" s="85" t="s">
        <v>364</v>
      </c>
      <c r="G85" s="80" t="s">
        <v>443</v>
      </c>
      <c r="H85" s="80" t="s">
        <v>718</v>
      </c>
      <c r="I85" s="24">
        <v>1106.9550000000002</v>
      </c>
      <c r="J85" s="24">
        <f t="shared" si="1"/>
        <v>996.25950000000012</v>
      </c>
      <c r="K85" s="24">
        <v>1229.95</v>
      </c>
      <c r="L85" s="24">
        <v>1229.95</v>
      </c>
      <c r="M85" s="24">
        <v>1229.95</v>
      </c>
      <c r="N85" s="24">
        <v>1229.95</v>
      </c>
      <c r="O85" s="24">
        <v>1229.95</v>
      </c>
      <c r="P85" s="24">
        <v>1229.95</v>
      </c>
      <c r="Q85" s="24">
        <v>1229.95</v>
      </c>
      <c r="R85" s="24">
        <v>1229.95</v>
      </c>
      <c r="S85" s="73">
        <v>1229.95</v>
      </c>
      <c r="T85" s="24">
        <v>1149.95</v>
      </c>
      <c r="U85" s="24">
        <v>1149.95</v>
      </c>
      <c r="V85" s="24">
        <v>1149.95</v>
      </c>
      <c r="W85" s="24">
        <v>1149.95</v>
      </c>
      <c r="X85" s="24">
        <v>1149.95</v>
      </c>
      <c r="Y85" s="24">
        <v>1149.95</v>
      </c>
      <c r="Z85" s="24">
        <v>1149.95</v>
      </c>
      <c r="AA85" s="24">
        <v>1149.95</v>
      </c>
      <c r="AB85" s="24"/>
      <c r="AC85" s="28"/>
      <c r="AD85" s="23"/>
    </row>
    <row r="86" spans="1:30" x14ac:dyDescent="0.2">
      <c r="A86" s="83" t="s">
        <v>913</v>
      </c>
      <c r="B86" s="1" t="s">
        <v>86</v>
      </c>
      <c r="C86" s="1" t="s">
        <v>151</v>
      </c>
      <c r="D86" s="1" t="s">
        <v>152</v>
      </c>
      <c r="E86" s="80" t="s">
        <v>440</v>
      </c>
      <c r="F86" s="85" t="s">
        <v>356</v>
      </c>
      <c r="G86" s="80" t="s">
        <v>443</v>
      </c>
      <c r="H86" s="80" t="s">
        <v>718</v>
      </c>
      <c r="I86" s="24">
        <v>800.95500000000004</v>
      </c>
      <c r="J86" s="24">
        <f t="shared" si="1"/>
        <v>720.85950000000003</v>
      </c>
      <c r="K86" s="24">
        <v>889.95</v>
      </c>
      <c r="L86" s="24">
        <v>889.95</v>
      </c>
      <c r="M86" s="24">
        <v>889.95</v>
      </c>
      <c r="N86" s="24">
        <v>889.95</v>
      </c>
      <c r="O86" s="24">
        <v>889.95</v>
      </c>
      <c r="P86" s="24">
        <v>889.95</v>
      </c>
      <c r="Q86" s="24">
        <v>889.95</v>
      </c>
      <c r="R86" s="24">
        <v>889.95</v>
      </c>
      <c r="S86" s="73">
        <v>889.95</v>
      </c>
      <c r="T86" s="24">
        <v>829.95</v>
      </c>
      <c r="U86" s="24">
        <v>829.95</v>
      </c>
      <c r="V86" s="24">
        <v>829.95</v>
      </c>
      <c r="W86" s="24">
        <v>829.95</v>
      </c>
      <c r="X86" s="24">
        <v>829.95</v>
      </c>
      <c r="Y86" s="24">
        <v>829.95</v>
      </c>
      <c r="Z86" s="24">
        <v>829.95</v>
      </c>
      <c r="AA86" s="24">
        <v>829.95</v>
      </c>
      <c r="AB86" s="24"/>
      <c r="AC86" s="28"/>
      <c r="AD86" s="23"/>
    </row>
    <row r="87" spans="1:30" x14ac:dyDescent="0.2">
      <c r="A87" s="83" t="s">
        <v>913</v>
      </c>
      <c r="B87" s="1" t="s">
        <v>65</v>
      </c>
      <c r="C87" s="1" t="s">
        <v>155</v>
      </c>
      <c r="D87" s="1" t="s">
        <v>156</v>
      </c>
      <c r="E87" s="80" t="s">
        <v>440</v>
      </c>
      <c r="F87" s="85" t="s">
        <v>318</v>
      </c>
      <c r="G87" s="80" t="s">
        <v>443</v>
      </c>
      <c r="H87" s="80" t="s">
        <v>718</v>
      </c>
      <c r="I87" s="24">
        <v>548.95500000000004</v>
      </c>
      <c r="J87" s="24">
        <f t="shared" si="1"/>
        <v>494.05950000000007</v>
      </c>
      <c r="K87" s="24">
        <v>609.95000000000005</v>
      </c>
      <c r="L87" s="24">
        <v>609.95000000000005</v>
      </c>
      <c r="M87" s="24">
        <v>609.95000000000005</v>
      </c>
      <c r="N87" s="24">
        <v>609.95000000000005</v>
      </c>
      <c r="O87" s="24">
        <v>609.95000000000005</v>
      </c>
      <c r="P87" s="24">
        <v>609.95000000000005</v>
      </c>
      <c r="Q87" s="24">
        <v>609.95000000000005</v>
      </c>
      <c r="R87" s="24">
        <v>609.95000000000005</v>
      </c>
      <c r="S87" s="73">
        <v>609.95000000000005</v>
      </c>
      <c r="T87" s="24">
        <v>569.95000000000005</v>
      </c>
      <c r="U87" s="24">
        <v>569.95000000000005</v>
      </c>
      <c r="V87" s="24">
        <v>569.95000000000005</v>
      </c>
      <c r="W87" s="24">
        <v>569.95000000000005</v>
      </c>
      <c r="X87" s="24">
        <v>569.95000000000005</v>
      </c>
      <c r="Y87" s="24">
        <v>569.95000000000005</v>
      </c>
      <c r="Z87" s="24">
        <v>569.95000000000005</v>
      </c>
      <c r="AA87" s="24">
        <v>569.95000000000005</v>
      </c>
      <c r="AB87" s="24"/>
      <c r="AC87" s="28"/>
      <c r="AD87" s="23"/>
    </row>
    <row r="88" spans="1:30" x14ac:dyDescent="0.2">
      <c r="A88" s="83" t="s">
        <v>913</v>
      </c>
      <c r="B88" s="1" t="s">
        <v>511</v>
      </c>
      <c r="C88" s="1" t="s">
        <v>513</v>
      </c>
      <c r="D88" s="1" t="s">
        <v>515</v>
      </c>
      <c r="E88" s="80" t="s">
        <v>440</v>
      </c>
      <c r="F88" s="80" t="s">
        <v>568</v>
      </c>
      <c r="G88" s="80" t="s">
        <v>443</v>
      </c>
      <c r="H88" s="80" t="s">
        <v>718</v>
      </c>
      <c r="I88" s="24">
        <v>8378.9550000000017</v>
      </c>
      <c r="J88" s="24">
        <f t="shared" si="1"/>
        <v>7541.0595000000021</v>
      </c>
      <c r="K88" s="24">
        <v>9309.9500000000007</v>
      </c>
      <c r="L88" s="24">
        <v>9309.9500000000007</v>
      </c>
      <c r="M88" s="24">
        <v>9309.9500000000007</v>
      </c>
      <c r="N88" s="24">
        <v>9309.9500000000007</v>
      </c>
      <c r="O88" s="24">
        <v>9309.9500000000007</v>
      </c>
      <c r="P88" s="24">
        <v>9309.9500000000007</v>
      </c>
      <c r="Q88" s="24">
        <v>9309.9500000000007</v>
      </c>
      <c r="R88" s="24">
        <v>9309.9500000000007</v>
      </c>
      <c r="S88" s="73">
        <v>9309.9500000000007</v>
      </c>
      <c r="T88" s="24">
        <v>8699.9500000000007</v>
      </c>
      <c r="U88" s="24">
        <v>8699.9500000000007</v>
      </c>
      <c r="V88" s="24">
        <v>8699.9500000000007</v>
      </c>
      <c r="W88" s="24">
        <v>8699.9500000000007</v>
      </c>
      <c r="X88" s="24">
        <v>8699.9500000000007</v>
      </c>
      <c r="Y88" s="24">
        <v>8699.9500000000007</v>
      </c>
      <c r="Z88" s="24">
        <v>8699.9500000000007</v>
      </c>
      <c r="AA88" s="24">
        <v>8699.9500000000007</v>
      </c>
      <c r="AB88" s="24"/>
      <c r="AC88" s="28"/>
      <c r="AD88" s="23"/>
    </row>
    <row r="89" spans="1:30" x14ac:dyDescent="0.2">
      <c r="A89" s="83" t="s">
        <v>913</v>
      </c>
      <c r="B89" s="1" t="s">
        <v>463</v>
      </c>
      <c r="C89" s="1" t="s">
        <v>470</v>
      </c>
      <c r="D89" s="1" t="s">
        <v>464</v>
      </c>
      <c r="E89" s="80" t="s">
        <v>440</v>
      </c>
      <c r="F89" s="80" t="s">
        <v>569</v>
      </c>
      <c r="G89" s="80" t="s">
        <v>443</v>
      </c>
      <c r="H89" s="80" t="s">
        <v>718</v>
      </c>
      <c r="I89" s="24">
        <v>377.95499999999998</v>
      </c>
      <c r="J89" s="24">
        <f t="shared" si="1"/>
        <v>340.15949999999998</v>
      </c>
      <c r="K89" s="24">
        <v>419.95</v>
      </c>
      <c r="L89" s="24">
        <v>419.95</v>
      </c>
      <c r="M89" s="24">
        <v>419.95</v>
      </c>
      <c r="N89" s="24">
        <v>419.95</v>
      </c>
      <c r="O89" s="24">
        <v>419.95</v>
      </c>
      <c r="P89" s="24">
        <v>419.95</v>
      </c>
      <c r="Q89" s="24">
        <v>419.95</v>
      </c>
      <c r="R89" s="24">
        <v>419.95</v>
      </c>
      <c r="S89" s="73">
        <v>419.95</v>
      </c>
      <c r="T89" s="24">
        <v>389.95</v>
      </c>
      <c r="U89" s="24">
        <v>389.95</v>
      </c>
      <c r="V89" s="24">
        <v>389.95</v>
      </c>
      <c r="W89" s="24">
        <v>389.95</v>
      </c>
      <c r="X89" s="24">
        <v>389.95</v>
      </c>
      <c r="Y89" s="24">
        <v>389.95</v>
      </c>
      <c r="Z89" s="24">
        <v>389.95</v>
      </c>
      <c r="AA89" s="24">
        <v>389.95</v>
      </c>
      <c r="AB89" s="24"/>
      <c r="AC89" s="28"/>
      <c r="AD89" s="23"/>
    </row>
    <row r="90" spans="1:30" x14ac:dyDescent="0.2">
      <c r="A90" s="83" t="s">
        <v>913</v>
      </c>
      <c r="B90" s="1" t="s">
        <v>71</v>
      </c>
      <c r="C90" s="1" t="s">
        <v>153</v>
      </c>
      <c r="D90" s="1" t="s">
        <v>154</v>
      </c>
      <c r="E90" s="80" t="s">
        <v>440</v>
      </c>
      <c r="F90" s="85" t="s">
        <v>314</v>
      </c>
      <c r="G90" s="80" t="s">
        <v>443</v>
      </c>
      <c r="H90" s="80" t="s">
        <v>718</v>
      </c>
      <c r="I90" s="24">
        <v>512.95500000000004</v>
      </c>
      <c r="J90" s="24">
        <f t="shared" si="1"/>
        <v>461.65950000000004</v>
      </c>
      <c r="K90" s="24">
        <v>569.95000000000005</v>
      </c>
      <c r="L90" s="24">
        <v>569.95000000000005</v>
      </c>
      <c r="M90" s="24">
        <v>569.95000000000005</v>
      </c>
      <c r="N90" s="24">
        <v>569.95000000000005</v>
      </c>
      <c r="O90" s="24">
        <v>569.95000000000005</v>
      </c>
      <c r="P90" s="24">
        <v>569.95000000000005</v>
      </c>
      <c r="Q90" s="24">
        <v>569.95000000000005</v>
      </c>
      <c r="R90" s="24">
        <v>569.95000000000005</v>
      </c>
      <c r="S90" s="73">
        <v>569.95000000000005</v>
      </c>
      <c r="T90" s="24">
        <v>529.95000000000005</v>
      </c>
      <c r="U90" s="24">
        <v>529.95000000000005</v>
      </c>
      <c r="V90" s="24">
        <v>529.95000000000005</v>
      </c>
      <c r="W90" s="24">
        <v>529.95000000000005</v>
      </c>
      <c r="X90" s="24">
        <v>529.95000000000005</v>
      </c>
      <c r="Y90" s="24">
        <v>529.95000000000005</v>
      </c>
      <c r="Z90" s="24">
        <v>529.95000000000005</v>
      </c>
      <c r="AA90" s="24">
        <v>529.95000000000005</v>
      </c>
      <c r="AB90" s="24"/>
      <c r="AC90" s="28"/>
      <c r="AD90" s="23"/>
    </row>
    <row r="91" spans="1:30" x14ac:dyDescent="0.2">
      <c r="A91" s="83" t="s">
        <v>913</v>
      </c>
      <c r="B91" s="1" t="s">
        <v>69</v>
      </c>
      <c r="C91" s="1" t="s">
        <v>157</v>
      </c>
      <c r="D91" s="1" t="s">
        <v>158</v>
      </c>
      <c r="E91" s="80" t="s">
        <v>440</v>
      </c>
      <c r="F91" s="85" t="s">
        <v>315</v>
      </c>
      <c r="G91" s="80" t="s">
        <v>443</v>
      </c>
      <c r="H91" s="80" t="s">
        <v>718</v>
      </c>
      <c r="I91" s="24">
        <v>710.95500000000004</v>
      </c>
      <c r="J91" s="24">
        <f t="shared" si="1"/>
        <v>639.85950000000003</v>
      </c>
      <c r="K91" s="24">
        <v>789.95</v>
      </c>
      <c r="L91" s="24">
        <v>789.95</v>
      </c>
      <c r="M91" s="24">
        <v>789.95</v>
      </c>
      <c r="N91" s="24">
        <v>789.95</v>
      </c>
      <c r="O91" s="24">
        <v>789.95</v>
      </c>
      <c r="P91" s="24">
        <v>789.95</v>
      </c>
      <c r="Q91" s="24">
        <v>789.95</v>
      </c>
      <c r="R91" s="24">
        <v>789.95</v>
      </c>
      <c r="S91" s="73">
        <v>789.95</v>
      </c>
      <c r="T91" s="24">
        <v>739.95</v>
      </c>
      <c r="U91" s="24">
        <v>739.95</v>
      </c>
      <c r="V91" s="24">
        <v>739.95</v>
      </c>
      <c r="W91" s="24">
        <v>739.95</v>
      </c>
      <c r="X91" s="24">
        <v>739.95</v>
      </c>
      <c r="Y91" s="24">
        <v>739.95</v>
      </c>
      <c r="Z91" s="24">
        <v>739.95</v>
      </c>
      <c r="AA91" s="24">
        <v>739.95</v>
      </c>
      <c r="AB91" s="24"/>
      <c r="AC91" s="28"/>
      <c r="AD91" s="23"/>
    </row>
    <row r="92" spans="1:30" x14ac:dyDescent="0.2">
      <c r="A92" s="83" t="s">
        <v>913</v>
      </c>
      <c r="B92" s="1" t="s">
        <v>67</v>
      </c>
      <c r="C92" s="1" t="s">
        <v>159</v>
      </c>
      <c r="D92" s="1" t="s">
        <v>160</v>
      </c>
      <c r="E92" s="80" t="s">
        <v>440</v>
      </c>
      <c r="F92" s="85" t="s">
        <v>313</v>
      </c>
      <c r="G92" s="80" t="s">
        <v>443</v>
      </c>
      <c r="H92" s="80" t="s">
        <v>718</v>
      </c>
      <c r="I92" s="24">
        <v>863.95500000000004</v>
      </c>
      <c r="J92" s="24">
        <f t="shared" si="1"/>
        <v>777.55950000000007</v>
      </c>
      <c r="K92" s="24">
        <v>959.95</v>
      </c>
      <c r="L92" s="24">
        <v>959.95</v>
      </c>
      <c r="M92" s="24">
        <v>959.95</v>
      </c>
      <c r="N92" s="24">
        <v>959.95</v>
      </c>
      <c r="O92" s="24">
        <v>959.95</v>
      </c>
      <c r="P92" s="24">
        <v>959.95</v>
      </c>
      <c r="Q92" s="24">
        <v>959.95</v>
      </c>
      <c r="R92" s="24">
        <v>959.95</v>
      </c>
      <c r="S92" s="73">
        <v>959.95</v>
      </c>
      <c r="T92" s="24">
        <v>899.95</v>
      </c>
      <c r="U92" s="24">
        <v>899.95</v>
      </c>
      <c r="V92" s="24">
        <v>899.95</v>
      </c>
      <c r="W92" s="24">
        <v>899.95</v>
      </c>
      <c r="X92" s="24">
        <v>899.95</v>
      </c>
      <c r="Y92" s="24">
        <v>899.95</v>
      </c>
      <c r="Z92" s="24">
        <v>899.95</v>
      </c>
      <c r="AA92" s="24">
        <v>899.95</v>
      </c>
      <c r="AB92" s="24"/>
      <c r="AC92" s="28"/>
      <c r="AD92" s="23"/>
    </row>
    <row r="93" spans="1:30" x14ac:dyDescent="0.2">
      <c r="A93" s="83" t="s">
        <v>913</v>
      </c>
      <c r="B93" s="1" t="s">
        <v>61</v>
      </c>
      <c r="C93" s="1" t="s">
        <v>161</v>
      </c>
      <c r="D93" s="1" t="s">
        <v>162</v>
      </c>
      <c r="E93" s="80" t="s">
        <v>440</v>
      </c>
      <c r="F93" s="85" t="s">
        <v>316</v>
      </c>
      <c r="G93" s="80" t="s">
        <v>443</v>
      </c>
      <c r="H93" s="80" t="s">
        <v>718</v>
      </c>
      <c r="I93" s="24">
        <v>1439.9550000000002</v>
      </c>
      <c r="J93" s="24">
        <f t="shared" si="1"/>
        <v>1295.9595000000002</v>
      </c>
      <c r="K93" s="24">
        <v>1599.95</v>
      </c>
      <c r="L93" s="24">
        <v>1599.95</v>
      </c>
      <c r="M93" s="24">
        <v>1599.95</v>
      </c>
      <c r="N93" s="24">
        <v>1599.95</v>
      </c>
      <c r="O93" s="24">
        <v>1599.95</v>
      </c>
      <c r="P93" s="24">
        <v>1599.95</v>
      </c>
      <c r="Q93" s="24">
        <v>1599.95</v>
      </c>
      <c r="R93" s="24">
        <v>1599.95</v>
      </c>
      <c r="S93" s="73">
        <v>1599.95</v>
      </c>
      <c r="T93" s="24">
        <v>1499.95</v>
      </c>
      <c r="U93" s="24">
        <v>1499.95</v>
      </c>
      <c r="V93" s="24">
        <v>1499.95</v>
      </c>
      <c r="W93" s="24">
        <v>1499.95</v>
      </c>
      <c r="X93" s="24">
        <v>1499.95</v>
      </c>
      <c r="Y93" s="24">
        <v>1499.95</v>
      </c>
      <c r="Z93" s="24">
        <v>1499.95</v>
      </c>
      <c r="AA93" s="24">
        <v>1499.95</v>
      </c>
      <c r="AB93" s="24"/>
      <c r="AC93" s="28"/>
      <c r="AD93" s="23"/>
    </row>
    <row r="94" spans="1:30" x14ac:dyDescent="0.2">
      <c r="A94" s="83" t="s">
        <v>913</v>
      </c>
      <c r="B94" s="1" t="s">
        <v>63</v>
      </c>
      <c r="C94" s="1" t="s">
        <v>163</v>
      </c>
      <c r="D94" s="1" t="s">
        <v>164</v>
      </c>
      <c r="E94" s="80" t="s">
        <v>440</v>
      </c>
      <c r="F94" s="85" t="s">
        <v>317</v>
      </c>
      <c r="G94" s="80" t="s">
        <v>443</v>
      </c>
      <c r="H94" s="80" t="s">
        <v>718</v>
      </c>
      <c r="I94" s="24">
        <v>1592.9550000000002</v>
      </c>
      <c r="J94" s="24">
        <f t="shared" si="1"/>
        <v>1433.6595000000002</v>
      </c>
      <c r="K94" s="24">
        <v>1769.95</v>
      </c>
      <c r="L94" s="24">
        <v>1769.95</v>
      </c>
      <c r="M94" s="24">
        <v>1769.95</v>
      </c>
      <c r="N94" s="24">
        <v>1769.95</v>
      </c>
      <c r="O94" s="24">
        <v>1769.95</v>
      </c>
      <c r="P94" s="24">
        <v>1769.95</v>
      </c>
      <c r="Q94" s="24">
        <v>1769.95</v>
      </c>
      <c r="R94" s="24">
        <v>1769.95</v>
      </c>
      <c r="S94" s="73">
        <v>1769.95</v>
      </c>
      <c r="T94" s="24">
        <v>1649.95</v>
      </c>
      <c r="U94" s="24">
        <v>1649.95</v>
      </c>
      <c r="V94" s="24">
        <v>1649.95</v>
      </c>
      <c r="W94" s="24">
        <v>1649.95</v>
      </c>
      <c r="X94" s="24">
        <v>1649.95</v>
      </c>
      <c r="Y94" s="24">
        <v>1649.95</v>
      </c>
      <c r="Z94" s="24">
        <v>1649.95</v>
      </c>
      <c r="AA94" s="24">
        <v>1649.95</v>
      </c>
      <c r="AB94" s="24"/>
      <c r="AC94" s="28"/>
      <c r="AD94" s="23"/>
    </row>
    <row r="95" spans="1:30" x14ac:dyDescent="0.2">
      <c r="A95" s="83" t="s">
        <v>913</v>
      </c>
      <c r="B95" s="1" t="s">
        <v>73</v>
      </c>
      <c r="C95" s="1" t="s">
        <v>165</v>
      </c>
      <c r="D95" s="1" t="s">
        <v>166</v>
      </c>
      <c r="E95" s="80" t="s">
        <v>440</v>
      </c>
      <c r="F95" s="85" t="s">
        <v>319</v>
      </c>
      <c r="G95" s="80" t="s">
        <v>443</v>
      </c>
      <c r="H95" s="80" t="s">
        <v>718</v>
      </c>
      <c r="I95" s="24">
        <v>1826.9550000000002</v>
      </c>
      <c r="J95" s="24">
        <f t="shared" si="1"/>
        <v>1644.2595000000001</v>
      </c>
      <c r="K95" s="24">
        <v>2029.95</v>
      </c>
      <c r="L95" s="24">
        <v>2029.95</v>
      </c>
      <c r="M95" s="24">
        <v>2029.95</v>
      </c>
      <c r="N95" s="24">
        <v>2029.95</v>
      </c>
      <c r="O95" s="24">
        <v>2029.95</v>
      </c>
      <c r="P95" s="24">
        <v>2029.95</v>
      </c>
      <c r="Q95" s="24">
        <v>2029.95</v>
      </c>
      <c r="R95" s="24">
        <v>2029.95</v>
      </c>
      <c r="S95" s="73">
        <v>2029.95</v>
      </c>
      <c r="T95" s="24">
        <v>1899.95</v>
      </c>
      <c r="U95" s="24">
        <v>1899.95</v>
      </c>
      <c r="V95" s="24">
        <v>1899.95</v>
      </c>
      <c r="W95" s="24">
        <v>1899.95</v>
      </c>
      <c r="X95" s="24">
        <v>1899.95</v>
      </c>
      <c r="Y95" s="24">
        <v>1899.95</v>
      </c>
      <c r="Z95" s="24">
        <v>1899.95</v>
      </c>
      <c r="AA95" s="24">
        <v>1899.95</v>
      </c>
      <c r="AB95" s="24"/>
      <c r="AC95" s="28"/>
      <c r="AD95" s="23"/>
    </row>
    <row r="96" spans="1:30" x14ac:dyDescent="0.2">
      <c r="A96" s="83" t="s">
        <v>913</v>
      </c>
      <c r="B96" s="1" t="s">
        <v>87</v>
      </c>
      <c r="C96" s="1" t="s">
        <v>167</v>
      </c>
      <c r="D96" s="1" t="s">
        <v>591</v>
      </c>
      <c r="E96" s="80" t="s">
        <v>440</v>
      </c>
      <c r="F96" s="85" t="s">
        <v>321</v>
      </c>
      <c r="G96" s="80" t="s">
        <v>443</v>
      </c>
      <c r="H96" s="80" t="s">
        <v>718</v>
      </c>
      <c r="I96" s="24">
        <v>3176.9549999999999</v>
      </c>
      <c r="J96" s="24">
        <f t="shared" si="1"/>
        <v>2859.2595000000001</v>
      </c>
      <c r="K96" s="24">
        <v>3529.95</v>
      </c>
      <c r="L96" s="24">
        <v>3529.95</v>
      </c>
      <c r="M96" s="24">
        <v>3529.95</v>
      </c>
      <c r="N96" s="24">
        <v>3529.95</v>
      </c>
      <c r="O96" s="24">
        <v>3529.95</v>
      </c>
      <c r="P96" s="24">
        <v>3529.95</v>
      </c>
      <c r="Q96" s="24">
        <v>3529.95</v>
      </c>
      <c r="R96" s="24">
        <v>3529.95</v>
      </c>
      <c r="S96" s="73">
        <v>3529.95</v>
      </c>
      <c r="T96" s="24">
        <v>3299.95</v>
      </c>
      <c r="U96" s="24">
        <v>3299.95</v>
      </c>
      <c r="V96" s="24">
        <v>3299.95</v>
      </c>
      <c r="W96" s="24">
        <v>3299.95</v>
      </c>
      <c r="X96" s="24">
        <v>3299.95</v>
      </c>
      <c r="Y96" s="24">
        <v>3299.95</v>
      </c>
      <c r="Z96" s="24">
        <v>3299.95</v>
      </c>
      <c r="AA96" s="24">
        <v>3299.95</v>
      </c>
      <c r="AB96" s="24"/>
      <c r="AC96" s="28"/>
      <c r="AD96" s="23"/>
    </row>
    <row r="97" spans="1:31" x14ac:dyDescent="0.2">
      <c r="A97" s="83" t="s">
        <v>913</v>
      </c>
      <c r="B97" s="1" t="s">
        <v>17</v>
      </c>
      <c r="C97" s="1" t="s">
        <v>18</v>
      </c>
      <c r="D97" s="1" t="s">
        <v>168</v>
      </c>
      <c r="E97" s="80" t="s">
        <v>440</v>
      </c>
      <c r="F97" s="85" t="s">
        <v>332</v>
      </c>
      <c r="G97" s="80" t="s">
        <v>443</v>
      </c>
      <c r="H97" s="80" t="s">
        <v>781</v>
      </c>
      <c r="I97" s="24">
        <v>15218.955000000002</v>
      </c>
      <c r="J97" s="24">
        <f t="shared" si="1"/>
        <v>13697.059500000001</v>
      </c>
      <c r="K97" s="24">
        <v>16909.95</v>
      </c>
      <c r="L97" s="24">
        <v>16909.95</v>
      </c>
      <c r="M97" s="24">
        <v>16909.95</v>
      </c>
      <c r="N97" s="24">
        <v>16909.95</v>
      </c>
      <c r="O97" s="24">
        <v>16909.95</v>
      </c>
      <c r="P97" s="24">
        <v>16909.95</v>
      </c>
      <c r="Q97" s="24">
        <v>16909.95</v>
      </c>
      <c r="R97" s="24">
        <v>16909.95</v>
      </c>
      <c r="S97" s="73">
        <v>16909.95</v>
      </c>
      <c r="T97" s="24">
        <v>15799.95</v>
      </c>
      <c r="U97" s="24">
        <v>15799.95</v>
      </c>
      <c r="V97" s="24">
        <v>15799.95</v>
      </c>
      <c r="W97" s="24">
        <v>15799.95</v>
      </c>
      <c r="X97" s="24">
        <v>15799.95</v>
      </c>
      <c r="Y97" s="24">
        <v>15799.95</v>
      </c>
      <c r="Z97" s="24">
        <v>15799.95</v>
      </c>
      <c r="AA97" s="24">
        <v>15799.95</v>
      </c>
      <c r="AB97" s="24"/>
      <c r="AC97" s="28"/>
      <c r="AD97" s="23"/>
    </row>
    <row r="98" spans="1:31" x14ac:dyDescent="0.2">
      <c r="A98" s="83" t="s">
        <v>913</v>
      </c>
      <c r="B98" s="1" t="s">
        <v>21</v>
      </c>
      <c r="C98" s="1" t="s">
        <v>22</v>
      </c>
      <c r="D98" s="1" t="s">
        <v>169</v>
      </c>
      <c r="E98" s="80" t="s">
        <v>440</v>
      </c>
      <c r="F98" s="85" t="s">
        <v>331</v>
      </c>
      <c r="G98" s="80" t="s">
        <v>443</v>
      </c>
      <c r="H98" s="80" t="s">
        <v>781</v>
      </c>
      <c r="I98" s="24">
        <v>18296.955000000002</v>
      </c>
      <c r="J98" s="24">
        <f t="shared" si="1"/>
        <v>16467.259500000004</v>
      </c>
      <c r="K98" s="24">
        <v>20329.95</v>
      </c>
      <c r="L98" s="24">
        <v>20329.95</v>
      </c>
      <c r="M98" s="24">
        <v>20329.95</v>
      </c>
      <c r="N98" s="24">
        <v>20329.95</v>
      </c>
      <c r="O98" s="24">
        <v>20329.95</v>
      </c>
      <c r="P98" s="24">
        <v>20329.95</v>
      </c>
      <c r="Q98" s="24">
        <v>20329.95</v>
      </c>
      <c r="R98" s="24">
        <v>20329.95</v>
      </c>
      <c r="S98" s="73">
        <v>20329.95</v>
      </c>
      <c r="T98" s="24">
        <v>18999.95</v>
      </c>
      <c r="U98" s="24">
        <v>18999.95</v>
      </c>
      <c r="V98" s="24">
        <v>18999.95</v>
      </c>
      <c r="W98" s="24">
        <v>18999.95</v>
      </c>
      <c r="X98" s="24">
        <v>18999.95</v>
      </c>
      <c r="Y98" s="24">
        <v>18999.95</v>
      </c>
      <c r="Z98" s="24">
        <v>18999.95</v>
      </c>
      <c r="AA98" s="24">
        <v>18999.95</v>
      </c>
      <c r="AB98" s="24"/>
      <c r="AC98" s="28"/>
      <c r="AD98" s="23"/>
    </row>
    <row r="99" spans="1:31" x14ac:dyDescent="0.2">
      <c r="A99" s="83" t="s">
        <v>913</v>
      </c>
      <c r="B99" s="1" t="s">
        <v>15</v>
      </c>
      <c r="C99" s="1" t="s">
        <v>16</v>
      </c>
      <c r="D99" s="1" t="s">
        <v>170</v>
      </c>
      <c r="E99" s="80" t="s">
        <v>440</v>
      </c>
      <c r="F99" s="85" t="s">
        <v>335</v>
      </c>
      <c r="G99" s="80" t="s">
        <v>443</v>
      </c>
      <c r="H99" s="80" t="s">
        <v>781</v>
      </c>
      <c r="I99" s="24">
        <v>4463.9549999999999</v>
      </c>
      <c r="J99" s="24">
        <f t="shared" si="1"/>
        <v>4017.5594999999998</v>
      </c>
      <c r="K99" s="24">
        <v>4959.95</v>
      </c>
      <c r="L99" s="24">
        <v>4959.95</v>
      </c>
      <c r="M99" s="24">
        <v>4959.95</v>
      </c>
      <c r="N99" s="24">
        <v>4959.95</v>
      </c>
      <c r="O99" s="24">
        <v>4959.95</v>
      </c>
      <c r="P99" s="24">
        <v>4959.95</v>
      </c>
      <c r="Q99" s="24">
        <v>4959.95</v>
      </c>
      <c r="R99" s="24">
        <v>4959.95</v>
      </c>
      <c r="S99" s="73">
        <v>4959.95</v>
      </c>
      <c r="T99" s="24">
        <v>4779.95</v>
      </c>
      <c r="U99" s="24">
        <v>4779.95</v>
      </c>
      <c r="V99" s="24">
        <v>4779.95</v>
      </c>
      <c r="W99" s="24">
        <v>4779.95</v>
      </c>
      <c r="X99" s="24">
        <v>4779.95</v>
      </c>
      <c r="Y99" s="24">
        <v>4779.95</v>
      </c>
      <c r="Z99" s="24">
        <v>4779.95</v>
      </c>
      <c r="AA99" s="24">
        <v>4779.95</v>
      </c>
      <c r="AB99" s="24"/>
      <c r="AC99" s="28"/>
      <c r="AD99" s="23"/>
    </row>
    <row r="100" spans="1:31" x14ac:dyDescent="0.2">
      <c r="A100" s="83" t="s">
        <v>913</v>
      </c>
      <c r="B100" s="1" t="s">
        <v>10</v>
      </c>
      <c r="C100" s="1" t="s">
        <v>256</v>
      </c>
      <c r="D100" s="1" t="s">
        <v>171</v>
      </c>
      <c r="E100" s="80" t="s">
        <v>440</v>
      </c>
      <c r="F100" s="85" t="s">
        <v>365</v>
      </c>
      <c r="G100" s="80" t="s">
        <v>443</v>
      </c>
      <c r="H100" s="80" t="s">
        <v>781</v>
      </c>
      <c r="I100" s="24">
        <v>8999.9550000000017</v>
      </c>
      <c r="J100" s="24">
        <f t="shared" si="1"/>
        <v>8099.9595000000018</v>
      </c>
      <c r="K100" s="24">
        <v>9999.9500000000007</v>
      </c>
      <c r="L100" s="24">
        <v>9999.9500000000007</v>
      </c>
      <c r="M100" s="24">
        <v>9999.9500000000007</v>
      </c>
      <c r="N100" s="24">
        <v>9999.9500000000007</v>
      </c>
      <c r="O100" s="24">
        <v>9999.9500000000007</v>
      </c>
      <c r="P100" s="24">
        <v>9999.9500000000007</v>
      </c>
      <c r="Q100" s="24">
        <v>9999.9500000000007</v>
      </c>
      <c r="R100" s="24">
        <v>9999.9500000000007</v>
      </c>
      <c r="S100" s="73">
        <v>9999.9500000000007</v>
      </c>
      <c r="T100" s="24">
        <v>9569.9500000000007</v>
      </c>
      <c r="U100" s="24">
        <v>9569.9500000000007</v>
      </c>
      <c r="V100" s="24">
        <v>9569.9500000000007</v>
      </c>
      <c r="W100" s="24">
        <v>9569.9500000000007</v>
      </c>
      <c r="X100" s="24">
        <v>9569.9500000000007</v>
      </c>
      <c r="Y100" s="24">
        <v>9569.9500000000007</v>
      </c>
      <c r="Z100" s="24">
        <v>9569.9500000000007</v>
      </c>
      <c r="AA100" s="24">
        <v>9569.9500000000007</v>
      </c>
      <c r="AB100" s="24"/>
      <c r="AC100" s="28"/>
      <c r="AD100" s="23"/>
    </row>
    <row r="101" spans="1:31" x14ac:dyDescent="0.2">
      <c r="A101" s="83" t="s">
        <v>913</v>
      </c>
      <c r="B101" s="1" t="s">
        <v>13</v>
      </c>
      <c r="C101" s="1" t="s">
        <v>14</v>
      </c>
      <c r="D101" s="1" t="s">
        <v>172</v>
      </c>
      <c r="E101" s="80" t="s">
        <v>440</v>
      </c>
      <c r="F101" s="85" t="s">
        <v>334</v>
      </c>
      <c r="G101" s="80" t="s">
        <v>443</v>
      </c>
      <c r="H101" s="80" t="s">
        <v>781</v>
      </c>
      <c r="I101" s="24">
        <v>6101.9549999999999</v>
      </c>
      <c r="J101" s="24">
        <f t="shared" si="1"/>
        <v>5491.7595000000001</v>
      </c>
      <c r="K101" s="24">
        <v>6779.95</v>
      </c>
      <c r="L101" s="24">
        <v>6779.95</v>
      </c>
      <c r="M101" s="24">
        <v>6779.95</v>
      </c>
      <c r="N101" s="24">
        <v>6779.95</v>
      </c>
      <c r="O101" s="24">
        <v>6779.95</v>
      </c>
      <c r="P101" s="24">
        <v>6779.95</v>
      </c>
      <c r="Q101" s="24">
        <v>6779.95</v>
      </c>
      <c r="R101" s="24">
        <v>6779.95</v>
      </c>
      <c r="S101" s="73">
        <v>6779.95</v>
      </c>
      <c r="T101" s="24">
        <v>6499.95</v>
      </c>
      <c r="U101" s="24">
        <v>6499.95</v>
      </c>
      <c r="V101" s="24">
        <v>6499.95</v>
      </c>
      <c r="W101" s="24">
        <v>6499.95</v>
      </c>
      <c r="X101" s="24">
        <v>6499.95</v>
      </c>
      <c r="Y101" s="24">
        <v>6499.95</v>
      </c>
      <c r="Z101" s="24">
        <v>6499.95</v>
      </c>
      <c r="AA101" s="24">
        <v>6499.95</v>
      </c>
      <c r="AB101" s="24"/>
      <c r="AC101" s="28"/>
      <c r="AD101" s="23"/>
    </row>
    <row r="102" spans="1:31" s="26" customFormat="1" x14ac:dyDescent="0.2">
      <c r="A102" s="83" t="s">
        <v>913</v>
      </c>
      <c r="B102" s="1" t="s">
        <v>19</v>
      </c>
      <c r="C102" s="1" t="s">
        <v>20</v>
      </c>
      <c r="D102" s="1" t="s">
        <v>173</v>
      </c>
      <c r="E102" s="80" t="s">
        <v>440</v>
      </c>
      <c r="F102" s="85" t="s">
        <v>333</v>
      </c>
      <c r="G102" s="80" t="s">
        <v>443</v>
      </c>
      <c r="H102" s="80" t="s">
        <v>781</v>
      </c>
      <c r="I102" s="24">
        <v>4913.9549999999999</v>
      </c>
      <c r="J102" s="24">
        <f t="shared" si="1"/>
        <v>4422.5595000000003</v>
      </c>
      <c r="K102" s="24">
        <v>5459.95</v>
      </c>
      <c r="L102" s="24">
        <v>5459.95</v>
      </c>
      <c r="M102" s="24">
        <v>5459.95</v>
      </c>
      <c r="N102" s="24">
        <v>5459.95</v>
      </c>
      <c r="O102" s="24">
        <v>5459.95</v>
      </c>
      <c r="P102" s="24">
        <v>5459.95</v>
      </c>
      <c r="Q102" s="24">
        <v>5459.95</v>
      </c>
      <c r="R102" s="24">
        <v>5459.95</v>
      </c>
      <c r="S102" s="73">
        <v>5459.95</v>
      </c>
      <c r="T102" s="24">
        <v>5099.95</v>
      </c>
      <c r="U102" s="24">
        <v>5099.95</v>
      </c>
      <c r="V102" s="24">
        <v>5099.95</v>
      </c>
      <c r="W102" s="24">
        <v>5099.95</v>
      </c>
      <c r="X102" s="24">
        <v>5099.95</v>
      </c>
      <c r="Y102" s="24">
        <v>5099.95</v>
      </c>
      <c r="Z102" s="24">
        <v>5099.95</v>
      </c>
      <c r="AA102" s="24">
        <v>5099.95</v>
      </c>
      <c r="AB102" s="24"/>
      <c r="AC102" s="28"/>
      <c r="AD102" s="23"/>
      <c r="AE102" s="1"/>
    </row>
    <row r="103" spans="1:31" x14ac:dyDescent="0.2">
      <c r="A103" s="83" t="s">
        <v>913</v>
      </c>
      <c r="B103" s="1" t="s">
        <v>88</v>
      </c>
      <c r="C103" s="1" t="s">
        <v>174</v>
      </c>
      <c r="D103" s="1" t="s">
        <v>175</v>
      </c>
      <c r="E103" s="80" t="s">
        <v>440</v>
      </c>
      <c r="F103" s="85" t="s">
        <v>327</v>
      </c>
      <c r="G103" s="80" t="s">
        <v>443</v>
      </c>
      <c r="H103" s="80" t="s">
        <v>781</v>
      </c>
      <c r="I103" s="24">
        <v>1475.9550000000002</v>
      </c>
      <c r="J103" s="24">
        <f t="shared" si="1"/>
        <v>1328.3595000000003</v>
      </c>
      <c r="K103" s="24">
        <v>1639.95</v>
      </c>
      <c r="L103" s="24">
        <v>1639.95</v>
      </c>
      <c r="M103" s="24">
        <v>1639.95</v>
      </c>
      <c r="N103" s="24">
        <v>1639.95</v>
      </c>
      <c r="O103" s="24">
        <v>1639.95</v>
      </c>
      <c r="P103" s="24">
        <v>1639.95</v>
      </c>
      <c r="Q103" s="24">
        <v>1639.95</v>
      </c>
      <c r="R103" s="24">
        <v>1639.95</v>
      </c>
      <c r="S103" s="73">
        <v>1639.95</v>
      </c>
      <c r="T103" s="24">
        <v>1529.95</v>
      </c>
      <c r="U103" s="24">
        <v>1529.95</v>
      </c>
      <c r="V103" s="24">
        <v>1529.95</v>
      </c>
      <c r="W103" s="24">
        <v>1529.95</v>
      </c>
      <c r="X103" s="24">
        <v>1529.95</v>
      </c>
      <c r="Y103" s="24">
        <v>1529.95</v>
      </c>
      <c r="Z103" s="24">
        <v>1529.95</v>
      </c>
      <c r="AA103" s="24">
        <v>1529.95</v>
      </c>
      <c r="AB103" s="24"/>
      <c r="AC103" s="28"/>
      <c r="AD103" s="23"/>
    </row>
    <row r="104" spans="1:31" x14ac:dyDescent="0.2">
      <c r="A104" s="83" t="s">
        <v>913</v>
      </c>
      <c r="B104" s="1" t="s">
        <v>89</v>
      </c>
      <c r="C104" s="1" t="s">
        <v>176</v>
      </c>
      <c r="D104" s="1" t="s">
        <v>177</v>
      </c>
      <c r="E104" s="80" t="s">
        <v>440</v>
      </c>
      <c r="F104" s="85" t="s">
        <v>328</v>
      </c>
      <c r="G104" s="80" t="s">
        <v>443</v>
      </c>
      <c r="H104" s="80" t="s">
        <v>781</v>
      </c>
      <c r="I104" s="24">
        <v>1970.9549999999999</v>
      </c>
      <c r="J104" s="24">
        <f t="shared" si="1"/>
        <v>1773.8595</v>
      </c>
      <c r="K104" s="24">
        <v>2189.9499999999998</v>
      </c>
      <c r="L104" s="24">
        <v>2189.9499999999998</v>
      </c>
      <c r="M104" s="24">
        <v>2189.9499999999998</v>
      </c>
      <c r="N104" s="24">
        <v>2189.9499999999998</v>
      </c>
      <c r="O104" s="24">
        <v>2189.9499999999998</v>
      </c>
      <c r="P104" s="24">
        <v>2189.9499999999998</v>
      </c>
      <c r="Q104" s="24">
        <v>2189.9499999999998</v>
      </c>
      <c r="R104" s="24">
        <v>2189.9499999999998</v>
      </c>
      <c r="S104" s="73">
        <v>2189.9499999999998</v>
      </c>
      <c r="T104" s="24">
        <v>2049.9499999999998</v>
      </c>
      <c r="U104" s="24">
        <v>2049.9499999999998</v>
      </c>
      <c r="V104" s="24">
        <v>2049.9499999999998</v>
      </c>
      <c r="W104" s="24">
        <v>2049.9499999999998</v>
      </c>
      <c r="X104" s="24">
        <v>2049.9499999999998</v>
      </c>
      <c r="Y104" s="24">
        <v>2049.9499999999998</v>
      </c>
      <c r="Z104" s="24">
        <v>2049.9499999999998</v>
      </c>
      <c r="AA104" s="24">
        <v>2049.9499999999998</v>
      </c>
      <c r="AB104" s="24"/>
      <c r="AC104" s="28"/>
      <c r="AD104" s="23"/>
    </row>
    <row r="105" spans="1:31" x14ac:dyDescent="0.2">
      <c r="A105" s="83" t="s">
        <v>913</v>
      </c>
      <c r="B105" s="1" t="s">
        <v>90</v>
      </c>
      <c r="C105" s="1" t="s">
        <v>178</v>
      </c>
      <c r="D105" s="1" t="s">
        <v>179</v>
      </c>
      <c r="E105" s="80" t="s">
        <v>440</v>
      </c>
      <c r="F105" s="85" t="s">
        <v>337</v>
      </c>
      <c r="G105" s="80" t="s">
        <v>443</v>
      </c>
      <c r="H105" s="80" t="s">
        <v>781</v>
      </c>
      <c r="I105" s="24">
        <v>233.95499999999998</v>
      </c>
      <c r="J105" s="24">
        <f t="shared" si="1"/>
        <v>210.55949999999999</v>
      </c>
      <c r="K105" s="24">
        <v>259.95</v>
      </c>
      <c r="L105" s="24">
        <v>259.95</v>
      </c>
      <c r="M105" s="24">
        <v>259.95</v>
      </c>
      <c r="N105" s="24">
        <v>259.95</v>
      </c>
      <c r="O105" s="24">
        <v>259.95</v>
      </c>
      <c r="P105" s="24">
        <v>259.95</v>
      </c>
      <c r="Q105" s="24">
        <v>259.95</v>
      </c>
      <c r="R105" s="24">
        <v>259.95</v>
      </c>
      <c r="S105" s="73">
        <v>259.95</v>
      </c>
      <c r="T105" s="24">
        <v>239.95</v>
      </c>
      <c r="U105" s="24">
        <v>239.95</v>
      </c>
      <c r="V105" s="24">
        <v>239.95</v>
      </c>
      <c r="W105" s="24">
        <v>239.95</v>
      </c>
      <c r="X105" s="24">
        <v>239.95</v>
      </c>
      <c r="Y105" s="24">
        <v>239.95</v>
      </c>
      <c r="Z105" s="24">
        <v>239.95</v>
      </c>
      <c r="AA105" s="24">
        <v>239.95</v>
      </c>
      <c r="AB105" s="24"/>
      <c r="AC105" s="28"/>
      <c r="AD105" s="23"/>
    </row>
    <row r="106" spans="1:31" x14ac:dyDescent="0.2">
      <c r="A106" s="83" t="s">
        <v>913</v>
      </c>
      <c r="B106" s="1" t="s">
        <v>91</v>
      </c>
      <c r="C106" s="1" t="s">
        <v>180</v>
      </c>
      <c r="D106" s="1" t="s">
        <v>181</v>
      </c>
      <c r="E106" s="80" t="s">
        <v>440</v>
      </c>
      <c r="F106" s="85" t="s">
        <v>340</v>
      </c>
      <c r="G106" s="80" t="s">
        <v>443</v>
      </c>
      <c r="H106" s="80" t="s">
        <v>781</v>
      </c>
      <c r="I106" s="24">
        <v>449.95499999999998</v>
      </c>
      <c r="J106" s="24">
        <f t="shared" si="1"/>
        <v>404.95949999999999</v>
      </c>
      <c r="K106" s="24">
        <v>499.95</v>
      </c>
      <c r="L106" s="24">
        <v>499.95</v>
      </c>
      <c r="M106" s="24">
        <v>499.95</v>
      </c>
      <c r="N106" s="24">
        <v>499.95</v>
      </c>
      <c r="O106" s="24">
        <v>499.95</v>
      </c>
      <c r="P106" s="24">
        <v>499.95</v>
      </c>
      <c r="Q106" s="24">
        <v>499.95</v>
      </c>
      <c r="R106" s="24">
        <v>499.95</v>
      </c>
      <c r="S106" s="73">
        <v>499.95</v>
      </c>
      <c r="T106" s="24">
        <v>469.95</v>
      </c>
      <c r="U106" s="24">
        <v>469.95</v>
      </c>
      <c r="V106" s="24">
        <v>469.95</v>
      </c>
      <c r="W106" s="24">
        <v>469.95</v>
      </c>
      <c r="X106" s="24">
        <v>469.95</v>
      </c>
      <c r="Y106" s="24">
        <v>469.95</v>
      </c>
      <c r="Z106" s="24">
        <v>469.95</v>
      </c>
      <c r="AA106" s="24">
        <v>469.95</v>
      </c>
      <c r="AB106" s="24"/>
      <c r="AC106" s="28"/>
      <c r="AD106" s="23"/>
    </row>
    <row r="107" spans="1:31" x14ac:dyDescent="0.2">
      <c r="A107" s="83" t="s">
        <v>913</v>
      </c>
      <c r="B107" s="1" t="s">
        <v>92</v>
      </c>
      <c r="C107" s="1" t="s">
        <v>182</v>
      </c>
      <c r="D107" s="1" t="s">
        <v>183</v>
      </c>
      <c r="E107" s="80" t="s">
        <v>440</v>
      </c>
      <c r="F107" s="85" t="s">
        <v>343</v>
      </c>
      <c r="G107" s="80" t="s">
        <v>443</v>
      </c>
      <c r="H107" s="80" t="s">
        <v>781</v>
      </c>
      <c r="I107" s="24">
        <v>494.95500000000004</v>
      </c>
      <c r="J107" s="24">
        <f t="shared" si="1"/>
        <v>445.45950000000005</v>
      </c>
      <c r="K107" s="24">
        <v>549.95000000000005</v>
      </c>
      <c r="L107" s="24">
        <v>549.95000000000005</v>
      </c>
      <c r="M107" s="24">
        <v>549.95000000000005</v>
      </c>
      <c r="N107" s="24">
        <v>549.95000000000005</v>
      </c>
      <c r="O107" s="24">
        <v>549.95000000000005</v>
      </c>
      <c r="P107" s="24">
        <v>549.95000000000005</v>
      </c>
      <c r="Q107" s="24">
        <v>549.95000000000005</v>
      </c>
      <c r="R107" s="24">
        <v>549.95000000000005</v>
      </c>
      <c r="S107" s="73">
        <v>549.95000000000005</v>
      </c>
      <c r="T107" s="24">
        <v>509.95</v>
      </c>
      <c r="U107" s="24">
        <v>509.95</v>
      </c>
      <c r="V107" s="24">
        <v>509.95</v>
      </c>
      <c r="W107" s="24">
        <v>509.95</v>
      </c>
      <c r="X107" s="24">
        <v>509.95</v>
      </c>
      <c r="Y107" s="24">
        <v>509.95</v>
      </c>
      <c r="Z107" s="24">
        <v>509.95</v>
      </c>
      <c r="AA107" s="24">
        <v>509.95</v>
      </c>
      <c r="AB107" s="24"/>
      <c r="AC107" s="28"/>
      <c r="AD107" s="23"/>
    </row>
    <row r="108" spans="1:31" x14ac:dyDescent="0.2">
      <c r="A108" s="83" t="s">
        <v>913</v>
      </c>
      <c r="B108" s="1" t="s">
        <v>93</v>
      </c>
      <c r="C108" s="1" t="s">
        <v>184</v>
      </c>
      <c r="D108" s="1" t="s">
        <v>185</v>
      </c>
      <c r="E108" s="80" t="s">
        <v>440</v>
      </c>
      <c r="F108" s="85" t="s">
        <v>342</v>
      </c>
      <c r="G108" s="80" t="s">
        <v>443</v>
      </c>
      <c r="H108" s="80" t="s">
        <v>781</v>
      </c>
      <c r="I108" s="24">
        <v>629.95500000000004</v>
      </c>
      <c r="J108" s="24">
        <f t="shared" si="1"/>
        <v>566.95950000000005</v>
      </c>
      <c r="K108" s="24">
        <v>699.95</v>
      </c>
      <c r="L108" s="24">
        <v>699.95</v>
      </c>
      <c r="M108" s="24">
        <v>699.95</v>
      </c>
      <c r="N108" s="24">
        <v>699.95</v>
      </c>
      <c r="O108" s="24">
        <v>699.95</v>
      </c>
      <c r="P108" s="24">
        <v>699.95</v>
      </c>
      <c r="Q108" s="24">
        <v>699.95</v>
      </c>
      <c r="R108" s="24">
        <v>699.95</v>
      </c>
      <c r="S108" s="73">
        <v>699.95</v>
      </c>
      <c r="T108" s="24">
        <v>649.95000000000005</v>
      </c>
      <c r="U108" s="24">
        <v>649.95000000000005</v>
      </c>
      <c r="V108" s="24">
        <v>649.95000000000005</v>
      </c>
      <c r="W108" s="24">
        <v>649.95000000000005</v>
      </c>
      <c r="X108" s="24">
        <v>649.95000000000005</v>
      </c>
      <c r="Y108" s="24">
        <v>649.95000000000005</v>
      </c>
      <c r="Z108" s="24">
        <v>649.95000000000005</v>
      </c>
      <c r="AA108" s="24">
        <v>649.95000000000005</v>
      </c>
      <c r="AB108" s="24"/>
      <c r="AC108" s="28"/>
      <c r="AD108" s="23"/>
    </row>
    <row r="109" spans="1:31" x14ac:dyDescent="0.2">
      <c r="A109" s="83" t="s">
        <v>913</v>
      </c>
      <c r="B109" s="1" t="s">
        <v>94</v>
      </c>
      <c r="C109" s="1" t="s">
        <v>186</v>
      </c>
      <c r="D109" s="1" t="s">
        <v>187</v>
      </c>
      <c r="E109" s="80" t="s">
        <v>440</v>
      </c>
      <c r="F109" s="85" t="s">
        <v>341</v>
      </c>
      <c r="G109" s="80" t="s">
        <v>443</v>
      </c>
      <c r="H109" s="80" t="s">
        <v>781</v>
      </c>
      <c r="I109" s="24">
        <v>431.95499999999998</v>
      </c>
      <c r="J109" s="24">
        <f t="shared" si="1"/>
        <v>388.7595</v>
      </c>
      <c r="K109" s="24">
        <v>479.95</v>
      </c>
      <c r="L109" s="24">
        <v>479.95</v>
      </c>
      <c r="M109" s="24">
        <v>479.95</v>
      </c>
      <c r="N109" s="24">
        <v>479.95</v>
      </c>
      <c r="O109" s="24">
        <v>479.95</v>
      </c>
      <c r="P109" s="24">
        <v>479.95</v>
      </c>
      <c r="Q109" s="24">
        <v>479.95</v>
      </c>
      <c r="R109" s="24">
        <v>479.95</v>
      </c>
      <c r="S109" s="73">
        <v>479.95</v>
      </c>
      <c r="T109" s="24">
        <v>449.95</v>
      </c>
      <c r="U109" s="24">
        <v>449.95</v>
      </c>
      <c r="V109" s="24">
        <v>449.95</v>
      </c>
      <c r="W109" s="24">
        <v>449.95</v>
      </c>
      <c r="X109" s="24">
        <v>449.95</v>
      </c>
      <c r="Y109" s="24">
        <v>449.95</v>
      </c>
      <c r="Z109" s="24">
        <v>449.95</v>
      </c>
      <c r="AA109" s="24">
        <v>449.95</v>
      </c>
      <c r="AB109" s="24"/>
      <c r="AC109" s="28"/>
      <c r="AD109" s="23"/>
    </row>
    <row r="110" spans="1:31" x14ac:dyDescent="0.2">
      <c r="A110" s="83" t="s">
        <v>913</v>
      </c>
      <c r="B110" s="1" t="s">
        <v>95</v>
      </c>
      <c r="C110" s="1" t="s">
        <v>188</v>
      </c>
      <c r="D110" s="1" t="s">
        <v>189</v>
      </c>
      <c r="E110" s="80" t="s">
        <v>440</v>
      </c>
      <c r="F110" s="85" t="s">
        <v>339</v>
      </c>
      <c r="G110" s="80" t="s">
        <v>443</v>
      </c>
      <c r="H110" s="80" t="s">
        <v>781</v>
      </c>
      <c r="I110" s="24">
        <v>188.95499999999998</v>
      </c>
      <c r="J110" s="24">
        <f t="shared" si="1"/>
        <v>170.05949999999999</v>
      </c>
      <c r="K110" s="24">
        <v>209.95</v>
      </c>
      <c r="L110" s="24">
        <v>209.95</v>
      </c>
      <c r="M110" s="24">
        <v>209.95</v>
      </c>
      <c r="N110" s="24">
        <v>209.95</v>
      </c>
      <c r="O110" s="24">
        <v>209.95</v>
      </c>
      <c r="P110" s="24">
        <v>209.95</v>
      </c>
      <c r="Q110" s="24">
        <v>209.95</v>
      </c>
      <c r="R110" s="24">
        <v>209.95</v>
      </c>
      <c r="S110" s="73">
        <v>209.95</v>
      </c>
      <c r="T110" s="24">
        <v>199.95</v>
      </c>
      <c r="U110" s="24">
        <v>199.95</v>
      </c>
      <c r="V110" s="24">
        <v>199.95</v>
      </c>
      <c r="W110" s="24">
        <v>199.95</v>
      </c>
      <c r="X110" s="24">
        <v>199.95</v>
      </c>
      <c r="Y110" s="24">
        <v>199.95</v>
      </c>
      <c r="Z110" s="24">
        <v>199.95</v>
      </c>
      <c r="AA110" s="24">
        <v>199.95</v>
      </c>
      <c r="AB110" s="24"/>
      <c r="AC110" s="28"/>
      <c r="AD110" s="23"/>
    </row>
    <row r="111" spans="1:31" x14ac:dyDescent="0.2">
      <c r="A111" s="83" t="s">
        <v>913</v>
      </c>
      <c r="B111" s="1" t="s">
        <v>11</v>
      </c>
      <c r="C111" s="1" t="s">
        <v>12</v>
      </c>
      <c r="D111" s="1" t="s">
        <v>190</v>
      </c>
      <c r="E111" s="80" t="s">
        <v>440</v>
      </c>
      <c r="F111" s="85" t="s">
        <v>329</v>
      </c>
      <c r="G111" s="80" t="s">
        <v>443</v>
      </c>
      <c r="H111" s="80" t="s">
        <v>781</v>
      </c>
      <c r="I111" s="24">
        <v>7847.9550000000008</v>
      </c>
      <c r="J111" s="24">
        <f t="shared" si="1"/>
        <v>7063.1595000000007</v>
      </c>
      <c r="K111" s="24">
        <v>8719.9500000000007</v>
      </c>
      <c r="L111" s="24">
        <v>8719.9500000000007</v>
      </c>
      <c r="M111" s="24">
        <v>8719.9500000000007</v>
      </c>
      <c r="N111" s="24">
        <v>8719.9500000000007</v>
      </c>
      <c r="O111" s="24">
        <v>8719.9500000000007</v>
      </c>
      <c r="P111" s="24">
        <v>8719.9500000000007</v>
      </c>
      <c r="Q111" s="24">
        <v>8719.9500000000007</v>
      </c>
      <c r="R111" s="24">
        <v>8719.9500000000007</v>
      </c>
      <c r="S111" s="73">
        <v>8719.9500000000007</v>
      </c>
      <c r="T111" s="24">
        <v>8149.95</v>
      </c>
      <c r="U111" s="24">
        <v>8149.95</v>
      </c>
      <c r="V111" s="24">
        <v>8149.95</v>
      </c>
      <c r="W111" s="24">
        <v>8149.95</v>
      </c>
      <c r="X111" s="24">
        <v>8149.95</v>
      </c>
      <c r="Y111" s="24">
        <v>8149.95</v>
      </c>
      <c r="Z111" s="24">
        <v>8149.95</v>
      </c>
      <c r="AA111" s="24">
        <v>8149.95</v>
      </c>
      <c r="AB111" s="24"/>
      <c r="AC111" s="28"/>
      <c r="AD111" s="23"/>
    </row>
    <row r="112" spans="1:31" x14ac:dyDescent="0.2">
      <c r="A112" s="83" t="s">
        <v>913</v>
      </c>
      <c r="B112" s="1" t="s">
        <v>96</v>
      </c>
      <c r="C112" s="1" t="s">
        <v>191</v>
      </c>
      <c r="D112" s="1" t="s">
        <v>192</v>
      </c>
      <c r="E112" s="80" t="s">
        <v>440</v>
      </c>
      <c r="F112" s="85" t="s">
        <v>338</v>
      </c>
      <c r="G112" s="80" t="s">
        <v>443</v>
      </c>
      <c r="H112" s="80" t="s">
        <v>781</v>
      </c>
      <c r="I112" s="24">
        <v>242.95499999999998</v>
      </c>
      <c r="J112" s="24">
        <f t="shared" si="1"/>
        <v>218.65949999999998</v>
      </c>
      <c r="K112" s="24">
        <v>269.95</v>
      </c>
      <c r="L112" s="24">
        <v>269.95</v>
      </c>
      <c r="M112" s="24">
        <v>269.95</v>
      </c>
      <c r="N112" s="24">
        <v>269.95</v>
      </c>
      <c r="O112" s="24">
        <v>269.95</v>
      </c>
      <c r="P112" s="24">
        <v>269.95</v>
      </c>
      <c r="Q112" s="24">
        <v>269.95</v>
      </c>
      <c r="R112" s="24">
        <v>269.95</v>
      </c>
      <c r="S112" s="73">
        <v>269.95</v>
      </c>
      <c r="T112" s="24">
        <v>249.95</v>
      </c>
      <c r="U112" s="24">
        <v>249.95</v>
      </c>
      <c r="V112" s="24">
        <v>249.95</v>
      </c>
      <c r="W112" s="24">
        <v>249.95</v>
      </c>
      <c r="X112" s="24">
        <v>249.95</v>
      </c>
      <c r="Y112" s="24">
        <v>249.95</v>
      </c>
      <c r="Z112" s="24">
        <v>249.95</v>
      </c>
      <c r="AA112" s="24">
        <v>249.95</v>
      </c>
      <c r="AB112" s="24"/>
      <c r="AC112" s="28"/>
      <c r="AD112" s="23"/>
    </row>
    <row r="113" spans="1:35" x14ac:dyDescent="0.2">
      <c r="A113" s="83" t="s">
        <v>913</v>
      </c>
      <c r="B113" s="1" t="s">
        <v>97</v>
      </c>
      <c r="C113" s="1" t="s">
        <v>257</v>
      </c>
      <c r="D113" s="1" t="s">
        <v>193</v>
      </c>
      <c r="E113" s="80" t="s">
        <v>440</v>
      </c>
      <c r="F113" s="85" t="s">
        <v>692</v>
      </c>
      <c r="G113" s="80" t="s">
        <v>443</v>
      </c>
      <c r="H113" s="80" t="s">
        <v>781</v>
      </c>
      <c r="I113" s="24">
        <v>269.95499999999998</v>
      </c>
      <c r="J113" s="24">
        <f t="shared" si="1"/>
        <v>242.95949999999999</v>
      </c>
      <c r="K113" s="24">
        <v>299.95</v>
      </c>
      <c r="L113" s="24">
        <v>299.95</v>
      </c>
      <c r="M113" s="24">
        <v>299.95</v>
      </c>
      <c r="N113" s="24">
        <v>299.95</v>
      </c>
      <c r="O113" s="24">
        <v>299.95</v>
      </c>
      <c r="P113" s="24">
        <v>299.95</v>
      </c>
      <c r="Q113" s="24">
        <v>299.95</v>
      </c>
      <c r="R113" s="24">
        <v>299.95</v>
      </c>
      <c r="S113" s="73">
        <v>299.95</v>
      </c>
      <c r="T113" s="24">
        <v>279.95</v>
      </c>
      <c r="U113" s="24">
        <v>279.95</v>
      </c>
      <c r="V113" s="24">
        <v>279.95</v>
      </c>
      <c r="W113" s="24">
        <v>279.95</v>
      </c>
      <c r="X113" s="24">
        <v>279.95</v>
      </c>
      <c r="Y113" s="24">
        <v>279.95</v>
      </c>
      <c r="Z113" s="24">
        <v>279.95</v>
      </c>
      <c r="AA113" s="24">
        <v>279.95</v>
      </c>
      <c r="AB113" s="24"/>
      <c r="AC113" s="28"/>
      <c r="AD113" s="23"/>
    </row>
    <row r="114" spans="1:35" x14ac:dyDescent="0.2">
      <c r="A114" s="83" t="s">
        <v>913</v>
      </c>
      <c r="B114" s="1" t="s">
        <v>298</v>
      </c>
      <c r="C114" s="1" t="s">
        <v>296</v>
      </c>
      <c r="D114" s="1" t="s">
        <v>297</v>
      </c>
      <c r="E114" s="80" t="s">
        <v>440</v>
      </c>
      <c r="F114" s="80" t="s">
        <v>419</v>
      </c>
      <c r="G114" s="80" t="s">
        <v>443</v>
      </c>
      <c r="H114" s="80" t="s">
        <v>781</v>
      </c>
      <c r="I114" s="24">
        <v>719.95500000000004</v>
      </c>
      <c r="J114" s="24">
        <f t="shared" si="1"/>
        <v>647.95950000000005</v>
      </c>
      <c r="K114" s="24">
        <v>799.95</v>
      </c>
      <c r="L114" s="24">
        <v>799.95</v>
      </c>
      <c r="M114" s="24">
        <v>799.95</v>
      </c>
      <c r="N114" s="24">
        <v>799.95</v>
      </c>
      <c r="O114" s="24">
        <v>799.95</v>
      </c>
      <c r="P114" s="24">
        <v>799.95</v>
      </c>
      <c r="Q114" s="24">
        <v>799.95</v>
      </c>
      <c r="R114" s="24">
        <v>799.95</v>
      </c>
      <c r="S114" s="73">
        <v>799.95</v>
      </c>
      <c r="T114" s="24">
        <v>749.95</v>
      </c>
      <c r="U114" s="24">
        <v>749.95</v>
      </c>
      <c r="V114" s="24">
        <v>749.95</v>
      </c>
      <c r="W114" s="24">
        <v>749.95</v>
      </c>
      <c r="X114" s="24">
        <v>749.95</v>
      </c>
      <c r="Y114" s="24">
        <v>749.95</v>
      </c>
      <c r="Z114" s="24">
        <v>749.95</v>
      </c>
      <c r="AA114" s="24">
        <v>749.95</v>
      </c>
      <c r="AB114" s="24"/>
      <c r="AC114" s="28"/>
      <c r="AD114" s="23"/>
    </row>
    <row r="115" spans="1:35" x14ac:dyDescent="0.2">
      <c r="A115" s="83" t="s">
        <v>913</v>
      </c>
      <c r="B115" s="1" t="s">
        <v>98</v>
      </c>
      <c r="C115" s="1" t="s">
        <v>194</v>
      </c>
      <c r="D115" s="1" t="s">
        <v>195</v>
      </c>
      <c r="E115" s="80" t="s">
        <v>440</v>
      </c>
      <c r="F115" s="85" t="s">
        <v>330</v>
      </c>
      <c r="G115" s="80" t="s">
        <v>443</v>
      </c>
      <c r="H115" s="80" t="s">
        <v>781</v>
      </c>
      <c r="I115" s="24">
        <v>431.95499999999998</v>
      </c>
      <c r="J115" s="24">
        <f t="shared" si="1"/>
        <v>388.7595</v>
      </c>
      <c r="K115" s="24">
        <v>479.95</v>
      </c>
      <c r="L115" s="24">
        <v>479.95</v>
      </c>
      <c r="M115" s="24">
        <v>479.95</v>
      </c>
      <c r="N115" s="24">
        <v>479.95</v>
      </c>
      <c r="O115" s="24">
        <v>479.95</v>
      </c>
      <c r="P115" s="24">
        <v>479.95</v>
      </c>
      <c r="Q115" s="24">
        <v>479.95</v>
      </c>
      <c r="R115" s="24">
        <v>479.95</v>
      </c>
      <c r="S115" s="73">
        <v>479.95</v>
      </c>
      <c r="T115" s="24">
        <v>449.95</v>
      </c>
      <c r="U115" s="24">
        <v>449.95</v>
      </c>
      <c r="V115" s="24">
        <v>449.95</v>
      </c>
      <c r="W115" s="24">
        <v>449.95</v>
      </c>
      <c r="X115" s="24">
        <v>449.95</v>
      </c>
      <c r="Y115" s="24">
        <v>449.95</v>
      </c>
      <c r="Z115" s="24">
        <v>449.95</v>
      </c>
      <c r="AA115" s="24">
        <v>449.95</v>
      </c>
      <c r="AB115" s="24"/>
      <c r="AC115" s="28"/>
      <c r="AD115" s="23"/>
    </row>
    <row r="116" spans="1:35" x14ac:dyDescent="0.2">
      <c r="A116" s="83" t="s">
        <v>913</v>
      </c>
      <c r="B116" s="1" t="s">
        <v>99</v>
      </c>
      <c r="C116" s="1" t="s">
        <v>196</v>
      </c>
      <c r="D116" s="1" t="s">
        <v>197</v>
      </c>
      <c r="E116" s="80" t="s">
        <v>440</v>
      </c>
      <c r="F116" s="85" t="s">
        <v>336</v>
      </c>
      <c r="G116" s="80" t="s">
        <v>443</v>
      </c>
      <c r="H116" s="80" t="s">
        <v>781</v>
      </c>
      <c r="I116" s="24">
        <v>134.95499999999998</v>
      </c>
      <c r="J116" s="24">
        <f t="shared" si="1"/>
        <v>121.45949999999999</v>
      </c>
      <c r="K116" s="24">
        <v>149.94999999999999</v>
      </c>
      <c r="L116" s="24">
        <v>149.94999999999999</v>
      </c>
      <c r="M116" s="24">
        <v>149.94999999999999</v>
      </c>
      <c r="N116" s="24">
        <v>149.94999999999999</v>
      </c>
      <c r="O116" s="24">
        <v>149.94999999999999</v>
      </c>
      <c r="P116" s="24">
        <v>149.94999999999999</v>
      </c>
      <c r="Q116" s="24">
        <v>149.94999999999999</v>
      </c>
      <c r="R116" s="24">
        <v>149.94999999999999</v>
      </c>
      <c r="S116" s="73">
        <v>149.94999999999999</v>
      </c>
      <c r="T116" s="24">
        <v>139.94999999999999</v>
      </c>
      <c r="U116" s="24">
        <v>139.94999999999999</v>
      </c>
      <c r="V116" s="24">
        <v>139.94999999999999</v>
      </c>
      <c r="W116" s="24">
        <v>139.94999999999999</v>
      </c>
      <c r="X116" s="24">
        <v>139.94999999999999</v>
      </c>
      <c r="Y116" s="24">
        <v>139.94999999999999</v>
      </c>
      <c r="Z116" s="24">
        <v>139.94999999999999</v>
      </c>
      <c r="AA116" s="24">
        <v>139.94999999999999</v>
      </c>
      <c r="AB116" s="24"/>
      <c r="AC116" s="28"/>
      <c r="AD116" s="23"/>
    </row>
    <row r="117" spans="1:35" x14ac:dyDescent="0.2">
      <c r="A117" s="83" t="s">
        <v>913</v>
      </c>
      <c r="B117" s="1" t="s">
        <v>100</v>
      </c>
      <c r="C117" s="1" t="s">
        <v>198</v>
      </c>
      <c r="D117" s="1" t="s">
        <v>199</v>
      </c>
      <c r="E117" s="80" t="s">
        <v>440</v>
      </c>
      <c r="F117" s="85" t="s">
        <v>344</v>
      </c>
      <c r="G117" s="80" t="s">
        <v>443</v>
      </c>
      <c r="H117" s="80" t="s">
        <v>781</v>
      </c>
      <c r="I117" s="24">
        <v>251.95499999999998</v>
      </c>
      <c r="J117" s="24">
        <f t="shared" si="1"/>
        <v>226.7595</v>
      </c>
      <c r="K117" s="24">
        <v>279.95</v>
      </c>
      <c r="L117" s="24">
        <v>279.95</v>
      </c>
      <c r="M117" s="24">
        <v>279.95</v>
      </c>
      <c r="N117" s="24">
        <v>279.95</v>
      </c>
      <c r="O117" s="24">
        <v>279.95</v>
      </c>
      <c r="P117" s="24">
        <v>279.95</v>
      </c>
      <c r="Q117" s="24">
        <v>279.95</v>
      </c>
      <c r="R117" s="24">
        <v>279.95</v>
      </c>
      <c r="S117" s="73">
        <v>279.95</v>
      </c>
      <c r="T117" s="24">
        <v>259.95</v>
      </c>
      <c r="U117" s="24">
        <v>259.95</v>
      </c>
      <c r="V117" s="24">
        <v>259.95</v>
      </c>
      <c r="W117" s="24">
        <v>259.95</v>
      </c>
      <c r="X117" s="24">
        <v>259.95</v>
      </c>
      <c r="Y117" s="24">
        <v>259.95</v>
      </c>
      <c r="Z117" s="24">
        <v>259.95</v>
      </c>
      <c r="AA117" s="24">
        <v>259.95</v>
      </c>
      <c r="AB117" s="24"/>
      <c r="AC117" s="28"/>
      <c r="AD117" s="23"/>
    </row>
    <row r="118" spans="1:35" x14ac:dyDescent="0.2">
      <c r="A118" s="1" t="s">
        <v>732</v>
      </c>
      <c r="B118" s="67" t="s">
        <v>895</v>
      </c>
      <c r="C118" s="67" t="s">
        <v>930</v>
      </c>
      <c r="D118" s="67" t="s">
        <v>931</v>
      </c>
      <c r="E118" s="84" t="s">
        <v>440</v>
      </c>
      <c r="F118" s="67" t="s">
        <v>904</v>
      </c>
      <c r="G118" s="67" t="s">
        <v>444</v>
      </c>
      <c r="H118" s="84" t="s">
        <v>732</v>
      </c>
      <c r="I118" s="68">
        <v>170.95499999999998</v>
      </c>
      <c r="J118" s="24">
        <f t="shared" si="1"/>
        <v>153.8595</v>
      </c>
    </row>
    <row r="119" spans="1:35" x14ac:dyDescent="0.2">
      <c r="A119" s="83" t="s">
        <v>913</v>
      </c>
      <c r="B119" s="1" t="s">
        <v>101</v>
      </c>
      <c r="C119" s="1" t="s">
        <v>200</v>
      </c>
      <c r="D119" s="1" t="s">
        <v>201</v>
      </c>
      <c r="E119" s="80" t="s">
        <v>440</v>
      </c>
      <c r="F119" s="85" t="s">
        <v>355</v>
      </c>
      <c r="G119" s="80" t="s">
        <v>443</v>
      </c>
      <c r="H119" s="80" t="s">
        <v>718</v>
      </c>
      <c r="I119" s="24">
        <v>242.95499999999998</v>
      </c>
      <c r="J119" s="24">
        <f t="shared" si="1"/>
        <v>218.65949999999998</v>
      </c>
      <c r="K119" s="24">
        <v>269.95</v>
      </c>
      <c r="L119" s="24">
        <v>269.95</v>
      </c>
      <c r="M119" s="24">
        <v>269.95</v>
      </c>
      <c r="N119" s="24">
        <v>269.95</v>
      </c>
      <c r="O119" s="24">
        <v>269.95</v>
      </c>
      <c r="P119" s="24">
        <v>269.95</v>
      </c>
      <c r="Q119" s="24">
        <v>269.95</v>
      </c>
      <c r="R119" s="24">
        <v>269.95</v>
      </c>
      <c r="S119" s="73">
        <v>269.95</v>
      </c>
      <c r="T119" s="24">
        <v>249.95</v>
      </c>
      <c r="U119" s="24">
        <v>249.95</v>
      </c>
      <c r="V119" s="24">
        <v>249.95</v>
      </c>
      <c r="W119" s="24">
        <v>249.95</v>
      </c>
      <c r="X119" s="24">
        <v>249.95</v>
      </c>
      <c r="Y119" s="24">
        <v>249.95</v>
      </c>
      <c r="Z119" s="24">
        <v>249.95</v>
      </c>
      <c r="AA119" s="24">
        <v>249.95</v>
      </c>
      <c r="AB119" s="24"/>
      <c r="AC119" s="28"/>
      <c r="AD119" s="23"/>
    </row>
    <row r="120" spans="1:35" x14ac:dyDescent="0.2">
      <c r="A120" s="83" t="s">
        <v>913</v>
      </c>
      <c r="B120" s="2" t="s">
        <v>269</v>
      </c>
      <c r="C120" s="1" t="s">
        <v>266</v>
      </c>
      <c r="D120" s="1" t="s">
        <v>265</v>
      </c>
      <c r="E120" s="80" t="s">
        <v>440</v>
      </c>
      <c r="F120" s="80" t="s">
        <v>50</v>
      </c>
      <c r="G120" s="80" t="s">
        <v>443</v>
      </c>
      <c r="H120" s="80" t="s">
        <v>718</v>
      </c>
      <c r="I120" s="24">
        <v>512.95500000000004</v>
      </c>
      <c r="J120" s="24">
        <f t="shared" si="1"/>
        <v>461.65950000000004</v>
      </c>
      <c r="K120" s="24">
        <v>569.95000000000005</v>
      </c>
      <c r="L120" s="24">
        <v>569.95000000000005</v>
      </c>
      <c r="M120" s="24">
        <v>569.95000000000005</v>
      </c>
      <c r="N120" s="24">
        <v>569.95000000000005</v>
      </c>
      <c r="O120" s="24">
        <v>569.95000000000005</v>
      </c>
      <c r="P120" s="24">
        <v>569.95000000000005</v>
      </c>
      <c r="Q120" s="24">
        <v>569.95000000000005</v>
      </c>
      <c r="R120" s="24">
        <v>569.95000000000005</v>
      </c>
      <c r="S120" s="73">
        <v>569.95000000000005</v>
      </c>
      <c r="T120" s="24">
        <v>529.95000000000005</v>
      </c>
      <c r="U120" s="24">
        <v>529.95000000000005</v>
      </c>
      <c r="V120" s="24">
        <v>529.95000000000005</v>
      </c>
      <c r="W120" s="24">
        <v>529.95000000000005</v>
      </c>
      <c r="X120" s="24">
        <v>529.95000000000005</v>
      </c>
      <c r="Y120" s="24">
        <v>529.95000000000005</v>
      </c>
      <c r="Z120" s="24">
        <v>529.95000000000005</v>
      </c>
      <c r="AA120" s="24">
        <v>529.95000000000005</v>
      </c>
      <c r="AB120" s="24"/>
      <c r="AC120" s="28"/>
      <c r="AD120" s="23"/>
    </row>
    <row r="121" spans="1:35" x14ac:dyDescent="0.2">
      <c r="A121" s="83" t="s">
        <v>913</v>
      </c>
      <c r="B121" s="2" t="s">
        <v>270</v>
      </c>
      <c r="C121" s="1" t="s">
        <v>267</v>
      </c>
      <c r="D121" s="1" t="s">
        <v>268</v>
      </c>
      <c r="E121" s="80" t="s">
        <v>440</v>
      </c>
      <c r="F121" s="80" t="s">
        <v>51</v>
      </c>
      <c r="G121" s="80" t="s">
        <v>443</v>
      </c>
      <c r="H121" s="80" t="s">
        <v>718</v>
      </c>
      <c r="I121" s="24">
        <v>575.95500000000004</v>
      </c>
      <c r="J121" s="24">
        <f t="shared" si="1"/>
        <v>518.35950000000003</v>
      </c>
      <c r="K121" s="24">
        <v>639.95000000000005</v>
      </c>
      <c r="L121" s="24">
        <v>639.95000000000005</v>
      </c>
      <c r="M121" s="24">
        <v>639.95000000000005</v>
      </c>
      <c r="N121" s="24">
        <v>639.95000000000005</v>
      </c>
      <c r="O121" s="24">
        <v>639.95000000000005</v>
      </c>
      <c r="P121" s="24">
        <v>639.95000000000005</v>
      </c>
      <c r="Q121" s="24">
        <v>639.95000000000005</v>
      </c>
      <c r="R121" s="24">
        <v>639.95000000000005</v>
      </c>
      <c r="S121" s="73">
        <v>639.95000000000005</v>
      </c>
      <c r="T121" s="24">
        <v>599.95000000000005</v>
      </c>
      <c r="U121" s="24">
        <v>599.95000000000005</v>
      </c>
      <c r="V121" s="24">
        <v>599.95000000000005</v>
      </c>
      <c r="W121" s="24">
        <v>599.95000000000005</v>
      </c>
      <c r="X121" s="24">
        <v>599.95000000000005</v>
      </c>
      <c r="Y121" s="24">
        <v>599.95000000000005</v>
      </c>
      <c r="Z121" s="24">
        <v>599.95000000000005</v>
      </c>
      <c r="AA121" s="24">
        <v>599.95000000000005</v>
      </c>
      <c r="AB121" s="24"/>
      <c r="AC121" s="28"/>
      <c r="AD121" s="23"/>
    </row>
    <row r="122" spans="1:35" x14ac:dyDescent="0.2">
      <c r="A122" s="83" t="s">
        <v>913</v>
      </c>
      <c r="B122" s="1" t="s">
        <v>37</v>
      </c>
      <c r="C122" s="1" t="s">
        <v>38</v>
      </c>
      <c r="D122" s="1" t="s">
        <v>202</v>
      </c>
      <c r="E122" s="80" t="s">
        <v>440</v>
      </c>
      <c r="F122" s="85" t="s">
        <v>361</v>
      </c>
      <c r="G122" s="80" t="s">
        <v>443</v>
      </c>
      <c r="H122" s="80" t="s">
        <v>781</v>
      </c>
      <c r="I122" s="24">
        <v>1106.9550000000002</v>
      </c>
      <c r="J122" s="24">
        <f t="shared" si="1"/>
        <v>996.25950000000012</v>
      </c>
      <c r="K122" s="24">
        <v>1229.95</v>
      </c>
      <c r="L122" s="24">
        <v>1229.95</v>
      </c>
      <c r="M122" s="24">
        <v>1229.95</v>
      </c>
      <c r="N122" s="24">
        <v>1229.95</v>
      </c>
      <c r="O122" s="24">
        <v>1229.95</v>
      </c>
      <c r="P122" s="24">
        <v>1229.95</v>
      </c>
      <c r="Q122" s="24">
        <v>1229.95</v>
      </c>
      <c r="R122" s="24">
        <v>1229.95</v>
      </c>
      <c r="S122" s="73">
        <v>1229.95</v>
      </c>
      <c r="T122" s="24">
        <v>1149.95</v>
      </c>
      <c r="U122" s="24">
        <v>1149.95</v>
      </c>
      <c r="V122" s="24">
        <v>1149.95</v>
      </c>
      <c r="W122" s="24">
        <v>1149.95</v>
      </c>
      <c r="X122" s="24">
        <v>1149.95</v>
      </c>
      <c r="Y122" s="24">
        <v>1149.95</v>
      </c>
      <c r="Z122" s="24">
        <v>1149.95</v>
      </c>
      <c r="AA122" s="24">
        <v>1149.95</v>
      </c>
      <c r="AB122" s="24"/>
      <c r="AC122" s="28"/>
      <c r="AD122" s="23"/>
    </row>
    <row r="123" spans="1:35" x14ac:dyDescent="0.2">
      <c r="A123" s="83" t="s">
        <v>913</v>
      </c>
      <c r="B123" s="1" t="s">
        <v>480</v>
      </c>
      <c r="C123" s="1" t="s">
        <v>564</v>
      </c>
      <c r="D123" s="1" t="s">
        <v>496</v>
      </c>
      <c r="E123" s="80" t="s">
        <v>440</v>
      </c>
      <c r="F123" s="80" t="s">
        <v>570</v>
      </c>
      <c r="G123" s="80" t="s">
        <v>443</v>
      </c>
      <c r="H123" s="80" t="s">
        <v>718</v>
      </c>
      <c r="I123" s="24">
        <v>3365.9549999999999</v>
      </c>
      <c r="J123" s="24">
        <f t="shared" si="1"/>
        <v>3029.3595</v>
      </c>
      <c r="K123" s="24">
        <v>3739.95</v>
      </c>
      <c r="L123" s="24">
        <v>3739.95</v>
      </c>
      <c r="M123" s="24">
        <v>3739.95</v>
      </c>
      <c r="N123" s="24">
        <v>3739.95</v>
      </c>
      <c r="O123" s="24">
        <v>3739.95</v>
      </c>
      <c r="P123" s="24">
        <v>3739.95</v>
      </c>
      <c r="Q123" s="24">
        <v>3739.95</v>
      </c>
      <c r="R123" s="24">
        <v>3739.95</v>
      </c>
      <c r="S123" s="73">
        <v>3739.95</v>
      </c>
      <c r="T123" s="24">
        <v>3499.95</v>
      </c>
      <c r="U123" s="24">
        <v>3499.95</v>
      </c>
      <c r="V123" s="24">
        <v>3499.95</v>
      </c>
      <c r="W123" s="24">
        <v>3499.95</v>
      </c>
      <c r="X123" s="24">
        <v>3499.95</v>
      </c>
      <c r="Y123" s="24">
        <v>3499.95</v>
      </c>
      <c r="Z123" s="24">
        <v>3499.95</v>
      </c>
      <c r="AA123" s="24">
        <v>3499.95</v>
      </c>
      <c r="AB123" s="24"/>
      <c r="AC123" s="28"/>
      <c r="AD123" s="23"/>
    </row>
    <row r="124" spans="1:35" x14ac:dyDescent="0.2">
      <c r="A124" s="83" t="s">
        <v>913</v>
      </c>
      <c r="B124" s="1" t="s">
        <v>35</v>
      </c>
      <c r="C124" s="1" t="s">
        <v>36</v>
      </c>
      <c r="D124" s="1" t="s">
        <v>203</v>
      </c>
      <c r="E124" s="80" t="s">
        <v>440</v>
      </c>
      <c r="F124" s="85" t="s">
        <v>363</v>
      </c>
      <c r="G124" s="80" t="s">
        <v>443</v>
      </c>
      <c r="H124" s="80" t="s">
        <v>718</v>
      </c>
      <c r="I124" s="24">
        <v>1475.9550000000002</v>
      </c>
      <c r="J124" s="24">
        <f t="shared" si="1"/>
        <v>1328.3595000000003</v>
      </c>
      <c r="K124" s="24">
        <v>1639.95</v>
      </c>
      <c r="L124" s="24">
        <v>1639.95</v>
      </c>
      <c r="M124" s="24">
        <v>1639.95</v>
      </c>
      <c r="N124" s="24">
        <v>1639.95</v>
      </c>
      <c r="O124" s="24">
        <v>1639.95</v>
      </c>
      <c r="P124" s="24">
        <v>1639.95</v>
      </c>
      <c r="Q124" s="24">
        <v>1639.95</v>
      </c>
      <c r="R124" s="24">
        <v>1639.95</v>
      </c>
      <c r="S124" s="73">
        <v>1639.95</v>
      </c>
      <c r="T124" s="24">
        <v>1529.95</v>
      </c>
      <c r="U124" s="24">
        <v>1529.95</v>
      </c>
      <c r="V124" s="24">
        <v>1529.95</v>
      </c>
      <c r="W124" s="24">
        <v>1529.95</v>
      </c>
      <c r="X124" s="24">
        <v>1529.95</v>
      </c>
      <c r="Y124" s="24">
        <v>1529.95</v>
      </c>
      <c r="Z124" s="24">
        <v>1529.95</v>
      </c>
      <c r="AA124" s="24">
        <v>1529.95</v>
      </c>
      <c r="AB124" s="24"/>
      <c r="AC124" s="28"/>
      <c r="AD124" s="23"/>
    </row>
    <row r="125" spans="1:35" x14ac:dyDescent="0.2">
      <c r="A125" s="83" t="s">
        <v>913</v>
      </c>
      <c r="B125" s="1" t="s">
        <v>102</v>
      </c>
      <c r="C125" s="1" t="s">
        <v>204</v>
      </c>
      <c r="D125" s="1" t="s">
        <v>205</v>
      </c>
      <c r="E125" s="80" t="s">
        <v>441</v>
      </c>
      <c r="F125" s="80" t="s">
        <v>871</v>
      </c>
      <c r="G125" s="80" t="s">
        <v>443</v>
      </c>
      <c r="H125" s="80" t="s">
        <v>782</v>
      </c>
      <c r="I125" s="24">
        <v>15659.955000000002</v>
      </c>
      <c r="J125" s="24">
        <f t="shared" si="1"/>
        <v>14093.959500000003</v>
      </c>
      <c r="K125" s="24">
        <v>17399.95</v>
      </c>
      <c r="L125" s="24">
        <v>17399.95</v>
      </c>
      <c r="M125" s="24">
        <v>17399.95</v>
      </c>
      <c r="N125" s="24">
        <v>17399.95</v>
      </c>
      <c r="O125" s="24">
        <v>17399.95</v>
      </c>
      <c r="P125" s="24">
        <v>17399.95</v>
      </c>
      <c r="Q125" s="24">
        <v>17399.95</v>
      </c>
      <c r="R125" s="24">
        <v>17399.95</v>
      </c>
      <c r="S125" s="73">
        <v>17399.95</v>
      </c>
      <c r="T125" s="24">
        <v>16529.95</v>
      </c>
      <c r="U125" s="24">
        <v>16529.95</v>
      </c>
      <c r="V125" s="24">
        <v>16529.95</v>
      </c>
      <c r="W125" s="24">
        <v>16529.95</v>
      </c>
      <c r="X125" s="24">
        <v>16529.95</v>
      </c>
      <c r="Y125" s="24">
        <v>16529.95</v>
      </c>
      <c r="Z125" s="24">
        <v>16529.95</v>
      </c>
      <c r="AA125" s="24">
        <v>16529.95</v>
      </c>
      <c r="AB125" s="24"/>
      <c r="AC125" s="28"/>
      <c r="AD125" s="23"/>
      <c r="AI125" s="24"/>
    </row>
    <row r="126" spans="1:35" x14ac:dyDescent="0.2">
      <c r="A126" s="83" t="s">
        <v>913</v>
      </c>
      <c r="B126" s="1" t="s">
        <v>584</v>
      </c>
      <c r="C126" s="1" t="s">
        <v>600</v>
      </c>
      <c r="D126" s="1" t="s">
        <v>594</v>
      </c>
      <c r="E126" s="80" t="s">
        <v>439</v>
      </c>
      <c r="F126" s="80" t="s">
        <v>941</v>
      </c>
      <c r="G126" s="80" t="s">
        <v>443</v>
      </c>
      <c r="H126" s="80" t="s">
        <v>718</v>
      </c>
      <c r="I126" s="24">
        <v>13697.955000000002</v>
      </c>
      <c r="J126" s="24">
        <f t="shared" si="1"/>
        <v>12328.159500000002</v>
      </c>
      <c r="K126" s="24">
        <v>15219.95</v>
      </c>
      <c r="L126" s="24">
        <v>15219.95</v>
      </c>
      <c r="M126" s="24">
        <v>15219.95</v>
      </c>
      <c r="N126" s="24">
        <v>15219.95</v>
      </c>
      <c r="O126" s="24">
        <v>15219.95</v>
      </c>
      <c r="P126" s="24">
        <v>15219.95</v>
      </c>
      <c r="Q126" s="24">
        <v>15219.95</v>
      </c>
      <c r="R126" s="24">
        <v>15219.95</v>
      </c>
      <c r="S126" s="73">
        <v>15219.95</v>
      </c>
      <c r="T126" s="24">
        <v>13914.95</v>
      </c>
      <c r="U126" s="24">
        <v>13914.95</v>
      </c>
      <c r="V126" s="24">
        <v>13914.95</v>
      </c>
      <c r="W126" s="24">
        <v>13914.95</v>
      </c>
      <c r="X126" s="24">
        <v>13914.95</v>
      </c>
      <c r="Y126" s="24">
        <v>13914.95</v>
      </c>
      <c r="Z126" s="24">
        <v>13914.95</v>
      </c>
      <c r="AA126" s="24">
        <v>13529.95</v>
      </c>
      <c r="AB126" s="24"/>
      <c r="AC126" s="28"/>
      <c r="AD126" s="23"/>
    </row>
    <row r="127" spans="1:35" x14ac:dyDescent="0.2">
      <c r="A127" s="83" t="s">
        <v>913</v>
      </c>
      <c r="B127" s="1" t="s">
        <v>585</v>
      </c>
      <c r="D127" s="1" t="s">
        <v>595</v>
      </c>
      <c r="E127" s="80" t="s">
        <v>439</v>
      </c>
      <c r="F127" s="80" t="s">
        <v>601</v>
      </c>
      <c r="G127" s="80" t="s">
        <v>443</v>
      </c>
      <c r="H127" s="80" t="s">
        <v>718</v>
      </c>
      <c r="I127" s="24">
        <v>16829.955000000002</v>
      </c>
      <c r="J127" s="24">
        <f t="shared" si="1"/>
        <v>15146.959500000003</v>
      </c>
      <c r="K127" s="24">
        <v>18699.95</v>
      </c>
      <c r="L127" s="24">
        <v>18699.95</v>
      </c>
      <c r="M127" s="24">
        <v>18699.95</v>
      </c>
      <c r="N127" s="24">
        <v>18699.95</v>
      </c>
      <c r="O127" s="24">
        <v>18699.95</v>
      </c>
      <c r="P127" s="24">
        <v>18699.95</v>
      </c>
      <c r="Q127" s="24">
        <v>18699.95</v>
      </c>
      <c r="R127" s="24">
        <v>18699.95</v>
      </c>
      <c r="S127" s="73">
        <v>18699.95</v>
      </c>
      <c r="T127" s="24">
        <v>17399.95</v>
      </c>
      <c r="U127" s="24">
        <v>17399.95</v>
      </c>
      <c r="V127" s="24">
        <v>17399.95</v>
      </c>
      <c r="W127" s="24">
        <v>17399.95</v>
      </c>
      <c r="X127" s="24">
        <v>17399.95</v>
      </c>
      <c r="Y127" s="24">
        <v>17399.95</v>
      </c>
      <c r="Z127" s="24">
        <v>17399.95</v>
      </c>
      <c r="AA127" s="24">
        <v>16609.95</v>
      </c>
      <c r="AB127" s="24"/>
      <c r="AC127" s="28"/>
      <c r="AD127" s="23"/>
      <c r="AI127" s="24"/>
    </row>
    <row r="128" spans="1:35" x14ac:dyDescent="0.2">
      <c r="A128" s="83" t="s">
        <v>913</v>
      </c>
      <c r="B128" s="1" t="s">
        <v>366</v>
      </c>
      <c r="C128" s="1" t="s">
        <v>388</v>
      </c>
      <c r="D128" s="1" t="s">
        <v>368</v>
      </c>
      <c r="E128" s="80" t="s">
        <v>439</v>
      </c>
      <c r="F128" s="80" t="s">
        <v>697</v>
      </c>
      <c r="G128" s="80" t="s">
        <v>443</v>
      </c>
      <c r="H128" s="80" t="s">
        <v>718</v>
      </c>
      <c r="I128" s="24">
        <v>24263.955000000002</v>
      </c>
      <c r="J128" s="24">
        <f t="shared" si="1"/>
        <v>21837.559500000003</v>
      </c>
      <c r="K128" s="24">
        <v>26959.95</v>
      </c>
      <c r="L128" s="24">
        <v>26959.95</v>
      </c>
      <c r="M128" s="24">
        <v>26959.95</v>
      </c>
      <c r="N128" s="24">
        <v>26959.95</v>
      </c>
      <c r="O128" s="24">
        <v>26959.95</v>
      </c>
      <c r="P128" s="24">
        <v>26959.95</v>
      </c>
      <c r="Q128" s="24">
        <v>26959.95</v>
      </c>
      <c r="R128" s="24">
        <v>26959.95</v>
      </c>
      <c r="S128" s="73">
        <v>26959.95</v>
      </c>
      <c r="T128" s="24">
        <v>26959.95</v>
      </c>
      <c r="U128" s="24">
        <v>26959.95</v>
      </c>
      <c r="V128" s="24">
        <v>26959.95</v>
      </c>
      <c r="W128" s="24">
        <v>26959.95</v>
      </c>
      <c r="X128" s="24">
        <v>26959.95</v>
      </c>
      <c r="Y128" s="24">
        <v>26959.95</v>
      </c>
      <c r="Z128" s="24">
        <v>26959.95</v>
      </c>
      <c r="AA128" s="24">
        <v>26959.95</v>
      </c>
      <c r="AB128" s="24"/>
      <c r="AC128" s="28"/>
      <c r="AD128" s="23"/>
    </row>
    <row r="129" spans="1:31" x14ac:dyDescent="0.2">
      <c r="A129" s="83" t="s">
        <v>913</v>
      </c>
      <c r="B129" s="1" t="s">
        <v>883</v>
      </c>
      <c r="C129" s="1" t="s">
        <v>932</v>
      </c>
      <c r="D129" s="1" t="s">
        <v>933</v>
      </c>
      <c r="E129" s="80" t="s">
        <v>439</v>
      </c>
      <c r="F129" s="1" t="s">
        <v>906</v>
      </c>
      <c r="G129" s="1" t="s">
        <v>443</v>
      </c>
      <c r="H129" s="80" t="s">
        <v>718</v>
      </c>
      <c r="I129" s="24">
        <v>16433.955000000002</v>
      </c>
      <c r="J129" s="24">
        <f t="shared" si="1"/>
        <v>14790.559500000001</v>
      </c>
    </row>
    <row r="130" spans="1:31" x14ac:dyDescent="0.2">
      <c r="A130" s="83" t="s">
        <v>913</v>
      </c>
      <c r="B130" s="1" t="s">
        <v>884</v>
      </c>
      <c r="D130" s="1" t="s">
        <v>934</v>
      </c>
      <c r="E130" s="80" t="s">
        <v>439</v>
      </c>
      <c r="F130" s="1" t="s">
        <v>907</v>
      </c>
      <c r="G130" s="1" t="s">
        <v>443</v>
      </c>
      <c r="H130" s="80" t="s">
        <v>718</v>
      </c>
      <c r="I130" s="24">
        <v>19574.955000000002</v>
      </c>
      <c r="J130" s="24">
        <f t="shared" si="1"/>
        <v>17617.459500000001</v>
      </c>
    </row>
    <row r="131" spans="1:31" x14ac:dyDescent="0.2">
      <c r="A131" s="83" t="s">
        <v>913</v>
      </c>
      <c r="B131" s="1" t="s">
        <v>885</v>
      </c>
      <c r="D131" s="1" t="s">
        <v>935</v>
      </c>
      <c r="E131" s="80" t="s">
        <v>439</v>
      </c>
      <c r="F131" s="1" t="s">
        <v>908</v>
      </c>
      <c r="G131" s="1" t="s">
        <v>443</v>
      </c>
      <c r="H131" s="80" t="s">
        <v>718</v>
      </c>
      <c r="I131" s="24">
        <v>25046.955000000002</v>
      </c>
      <c r="J131" s="24">
        <f t="shared" si="1"/>
        <v>22542.259500000004</v>
      </c>
    </row>
    <row r="132" spans="1:31" x14ac:dyDescent="0.2">
      <c r="A132" s="83" t="s">
        <v>913</v>
      </c>
      <c r="B132" s="1" t="s">
        <v>886</v>
      </c>
      <c r="D132" s="1" t="s">
        <v>936</v>
      </c>
      <c r="E132" s="80" t="s">
        <v>439</v>
      </c>
      <c r="F132" s="1" t="s">
        <v>909</v>
      </c>
      <c r="G132" s="1" t="s">
        <v>443</v>
      </c>
      <c r="H132" s="80" t="s">
        <v>718</v>
      </c>
      <c r="I132" s="24">
        <v>33659.955000000002</v>
      </c>
      <c r="J132" s="24">
        <f t="shared" ref="J132:J194" si="2">I132*0.9</f>
        <v>30293.959500000001</v>
      </c>
    </row>
    <row r="133" spans="1:31" x14ac:dyDescent="0.2">
      <c r="A133" s="83" t="s">
        <v>913</v>
      </c>
      <c r="B133" s="1" t="s">
        <v>887</v>
      </c>
      <c r="D133" s="1" t="s">
        <v>937</v>
      </c>
      <c r="E133" s="80" t="s">
        <v>439</v>
      </c>
      <c r="F133" s="1" t="s">
        <v>910</v>
      </c>
      <c r="G133" s="1" t="s">
        <v>443</v>
      </c>
      <c r="H133" s="80" t="s">
        <v>718</v>
      </c>
      <c r="I133" s="24">
        <v>21914.955000000002</v>
      </c>
      <c r="J133" s="24">
        <f t="shared" si="2"/>
        <v>19723.459500000001</v>
      </c>
    </row>
    <row r="134" spans="1:31" x14ac:dyDescent="0.2">
      <c r="A134" s="83" t="s">
        <v>913</v>
      </c>
      <c r="B134" s="1" t="s">
        <v>888</v>
      </c>
      <c r="D134" s="1" t="s">
        <v>938</v>
      </c>
      <c r="E134" s="80" t="s">
        <v>439</v>
      </c>
      <c r="F134" s="1" t="s">
        <v>911</v>
      </c>
      <c r="G134" s="1" t="s">
        <v>443</v>
      </c>
      <c r="H134" s="80" t="s">
        <v>718</v>
      </c>
      <c r="I134" s="78">
        <v>28961.955000000002</v>
      </c>
      <c r="J134" s="24">
        <f t="shared" si="2"/>
        <v>26065.759500000004</v>
      </c>
    </row>
    <row r="135" spans="1:31" x14ac:dyDescent="0.2">
      <c r="A135" s="83" t="s">
        <v>913</v>
      </c>
      <c r="B135" s="67" t="s">
        <v>804</v>
      </c>
      <c r="C135" s="67"/>
      <c r="D135" s="67" t="s">
        <v>805</v>
      </c>
      <c r="E135" s="84" t="s">
        <v>439</v>
      </c>
      <c r="F135" s="84">
        <v>6009658262048</v>
      </c>
      <c r="G135" s="84" t="s">
        <v>444</v>
      </c>
      <c r="H135" s="84" t="s">
        <v>718</v>
      </c>
      <c r="I135" s="68">
        <v>29744.954999999998</v>
      </c>
      <c r="J135" s="24">
        <f t="shared" si="2"/>
        <v>26770.459499999997</v>
      </c>
      <c r="K135" s="68">
        <v>33049.949999999997</v>
      </c>
      <c r="L135" s="68">
        <v>33049.949999999997</v>
      </c>
      <c r="M135" s="68">
        <v>33049.949999999997</v>
      </c>
      <c r="N135" s="68">
        <v>33049.949999999997</v>
      </c>
      <c r="O135" s="68">
        <v>33049.949999999997</v>
      </c>
      <c r="P135" s="68">
        <v>33049.949999999997</v>
      </c>
      <c r="Q135" s="68">
        <v>33049.949999999997</v>
      </c>
      <c r="R135" s="68">
        <v>33049.949999999997</v>
      </c>
      <c r="S135" s="73">
        <v>33049.949999999997</v>
      </c>
      <c r="T135" s="68">
        <v>33049.949999999997</v>
      </c>
      <c r="U135" s="68">
        <v>33049.949999999997</v>
      </c>
      <c r="V135" s="68">
        <v>33049.949999999997</v>
      </c>
      <c r="W135" s="68">
        <v>33049.949999999997</v>
      </c>
      <c r="X135" s="68">
        <v>33049.949999999997</v>
      </c>
      <c r="Y135" s="68">
        <v>33049.949999999997</v>
      </c>
      <c r="Z135" s="68"/>
      <c r="AA135" s="68"/>
      <c r="AB135" s="24"/>
      <c r="AC135" s="28"/>
      <c r="AD135" s="23"/>
    </row>
    <row r="136" spans="1:31" x14ac:dyDescent="0.2">
      <c r="A136" s="83" t="s">
        <v>913</v>
      </c>
      <c r="B136" s="1" t="s">
        <v>413</v>
      </c>
      <c r="C136" s="1" t="s">
        <v>550</v>
      </c>
      <c r="D136" s="1" t="s">
        <v>414</v>
      </c>
      <c r="E136" s="80" t="s">
        <v>439</v>
      </c>
      <c r="F136" s="80" t="s">
        <v>420</v>
      </c>
      <c r="G136" s="80" t="s">
        <v>443</v>
      </c>
      <c r="H136" s="80" t="s">
        <v>718</v>
      </c>
      <c r="I136" s="24">
        <v>39131.955000000002</v>
      </c>
      <c r="J136" s="24">
        <f t="shared" si="2"/>
        <v>35218.7595</v>
      </c>
      <c r="K136" s="24">
        <v>43479.95</v>
      </c>
      <c r="L136" s="24">
        <v>43479.95</v>
      </c>
      <c r="M136" s="24">
        <v>43479.95</v>
      </c>
      <c r="N136" s="24">
        <v>43479.95</v>
      </c>
      <c r="O136" s="24">
        <v>43479.95</v>
      </c>
      <c r="P136" s="24">
        <v>43479.95</v>
      </c>
      <c r="Q136" s="24">
        <v>43479.95</v>
      </c>
      <c r="R136" s="24">
        <v>43479.95</v>
      </c>
      <c r="S136" s="73">
        <v>43479.95</v>
      </c>
      <c r="T136" s="24">
        <v>42609.95</v>
      </c>
      <c r="U136" s="24">
        <v>42609.95</v>
      </c>
      <c r="V136" s="24">
        <v>42609.95</v>
      </c>
      <c r="W136" s="24">
        <v>42609.95</v>
      </c>
      <c r="X136" s="24">
        <v>42609.95</v>
      </c>
      <c r="Y136" s="24">
        <v>42609.95</v>
      </c>
      <c r="Z136" s="24">
        <v>42609.95</v>
      </c>
      <c r="AA136" s="24">
        <v>40869.949999999997</v>
      </c>
      <c r="AB136" s="24"/>
      <c r="AC136" s="28"/>
      <c r="AD136" s="23"/>
    </row>
    <row r="137" spans="1:31" x14ac:dyDescent="0.2">
      <c r="A137" s="83" t="s">
        <v>913</v>
      </c>
      <c r="B137" s="1" t="s">
        <v>862</v>
      </c>
      <c r="C137" s="1" t="s">
        <v>939</v>
      </c>
      <c r="D137" s="1" t="s">
        <v>869</v>
      </c>
      <c r="E137" s="80" t="s">
        <v>439</v>
      </c>
      <c r="F137" s="80">
        <v>4960759916204</v>
      </c>
      <c r="G137" s="80" t="s">
        <v>443</v>
      </c>
      <c r="H137" s="80" t="s">
        <v>718</v>
      </c>
      <c r="I137" s="24">
        <v>43046.955000000002</v>
      </c>
      <c r="J137" s="24">
        <f t="shared" si="2"/>
        <v>38742.2595</v>
      </c>
      <c r="K137" s="24">
        <v>47829.95</v>
      </c>
      <c r="L137" s="73">
        <v>47829.95</v>
      </c>
      <c r="M137" s="73">
        <v>47829.95</v>
      </c>
      <c r="N137" s="73">
        <v>47829.95</v>
      </c>
      <c r="O137" s="73">
        <v>47829.95</v>
      </c>
      <c r="AB137" s="24"/>
      <c r="AC137" s="28"/>
      <c r="AD137" s="23"/>
    </row>
    <row r="138" spans="1:31" x14ac:dyDescent="0.2">
      <c r="A138" s="83" t="s">
        <v>913</v>
      </c>
      <c r="B138" s="67" t="s">
        <v>803</v>
      </c>
      <c r="C138" s="67"/>
      <c r="D138" s="67" t="s">
        <v>806</v>
      </c>
      <c r="E138" s="84" t="s">
        <v>439</v>
      </c>
      <c r="F138" s="84">
        <v>6009658262215</v>
      </c>
      <c r="G138" s="84" t="s">
        <v>444</v>
      </c>
      <c r="H138" s="84" t="s">
        <v>718</v>
      </c>
      <c r="I138" s="68">
        <v>50084.955000000002</v>
      </c>
      <c r="J138" s="24">
        <f t="shared" si="2"/>
        <v>45076.459500000004</v>
      </c>
      <c r="K138" s="68">
        <v>55649.95</v>
      </c>
      <c r="L138" s="68">
        <v>55649.95</v>
      </c>
      <c r="M138" s="68">
        <v>55649.95</v>
      </c>
      <c r="N138" s="68">
        <v>55649.95</v>
      </c>
      <c r="O138" s="68">
        <v>55649.95</v>
      </c>
      <c r="P138" s="68">
        <v>55649.95</v>
      </c>
      <c r="Q138" s="68">
        <v>55649.95</v>
      </c>
      <c r="R138" s="68">
        <v>55649.95</v>
      </c>
      <c r="S138" s="73">
        <v>55649.95</v>
      </c>
      <c r="T138" s="68">
        <v>53919.95</v>
      </c>
      <c r="U138" s="68">
        <v>53919.95</v>
      </c>
      <c r="V138" s="68">
        <v>53919.95</v>
      </c>
      <c r="W138" s="68">
        <v>53919.95</v>
      </c>
      <c r="X138" s="68">
        <v>53919.95</v>
      </c>
      <c r="Y138" s="68">
        <v>53919.95</v>
      </c>
      <c r="Z138" s="68"/>
      <c r="AA138" s="68"/>
      <c r="AB138" s="24"/>
      <c r="AC138" s="28"/>
      <c r="AD138" s="23"/>
    </row>
    <row r="139" spans="1:31" x14ac:dyDescent="0.2">
      <c r="A139" s="83" t="s">
        <v>913</v>
      </c>
      <c r="B139" s="1" t="s">
        <v>412</v>
      </c>
      <c r="C139" s="1" t="s">
        <v>553</v>
      </c>
      <c r="D139" s="1" t="s">
        <v>415</v>
      </c>
      <c r="E139" s="80" t="s">
        <v>439</v>
      </c>
      <c r="F139" s="80" t="s">
        <v>421</v>
      </c>
      <c r="G139" s="80" t="s">
        <v>443</v>
      </c>
      <c r="H139" s="80" t="s">
        <v>718</v>
      </c>
      <c r="I139" s="24">
        <v>58697.955000000002</v>
      </c>
      <c r="J139" s="24">
        <f t="shared" si="2"/>
        <v>52828.159500000002</v>
      </c>
      <c r="K139" s="24">
        <v>65219.95</v>
      </c>
      <c r="L139" s="24">
        <v>65219.95</v>
      </c>
      <c r="M139" s="24">
        <v>65219.95</v>
      </c>
      <c r="N139" s="24">
        <v>65219.95</v>
      </c>
      <c r="O139" s="24">
        <v>65219.95</v>
      </c>
      <c r="P139" s="24">
        <v>65219.95</v>
      </c>
      <c r="Q139" s="24">
        <v>65219.95</v>
      </c>
      <c r="R139" s="24">
        <v>65219.95</v>
      </c>
      <c r="S139" s="73">
        <v>65219.95</v>
      </c>
      <c r="T139" s="24">
        <v>62609.95</v>
      </c>
      <c r="U139" s="24">
        <v>62609.95</v>
      </c>
      <c r="V139" s="24">
        <v>62609.95</v>
      </c>
      <c r="W139" s="24">
        <v>62609.95</v>
      </c>
      <c r="X139" s="24">
        <v>62609.95</v>
      </c>
      <c r="Y139" s="24">
        <v>62609.95</v>
      </c>
      <c r="Z139" s="24">
        <v>62609.95</v>
      </c>
      <c r="AA139" s="24">
        <v>60869.95</v>
      </c>
      <c r="AB139" s="24"/>
      <c r="AC139" s="28"/>
      <c r="AD139" s="23"/>
    </row>
    <row r="140" spans="1:31" x14ac:dyDescent="0.2">
      <c r="A140" s="83" t="s">
        <v>913</v>
      </c>
      <c r="B140" s="1" t="s">
        <v>808</v>
      </c>
      <c r="D140" s="1" t="s">
        <v>809</v>
      </c>
      <c r="E140" s="80" t="s">
        <v>439</v>
      </c>
      <c r="F140" s="80" t="s">
        <v>810</v>
      </c>
      <c r="G140" s="80" t="s">
        <v>443</v>
      </c>
      <c r="H140" s="80" t="s">
        <v>718</v>
      </c>
      <c r="I140" s="24">
        <v>69650.955000000002</v>
      </c>
      <c r="J140" s="24">
        <f t="shared" si="2"/>
        <v>62685.859500000006</v>
      </c>
      <c r="K140" s="24">
        <v>77389.95</v>
      </c>
      <c r="L140" s="24">
        <v>77389.95</v>
      </c>
      <c r="M140" s="24">
        <v>77389.95</v>
      </c>
      <c r="N140" s="24">
        <v>77389.95</v>
      </c>
      <c r="O140" s="24">
        <v>77389.95</v>
      </c>
      <c r="P140" s="24">
        <v>77389.95</v>
      </c>
      <c r="Q140" s="24">
        <v>77389.95</v>
      </c>
      <c r="R140" s="24">
        <v>77389.95</v>
      </c>
      <c r="S140" s="73">
        <v>77389.95</v>
      </c>
      <c r="T140" s="24">
        <v>74789.95</v>
      </c>
      <c r="U140" s="24">
        <v>74789.95</v>
      </c>
      <c r="V140" s="24">
        <v>74789.95</v>
      </c>
      <c r="W140" s="24">
        <v>74789.95</v>
      </c>
      <c r="X140" s="24">
        <v>74789.95</v>
      </c>
      <c r="Y140" s="24">
        <v>74789.95</v>
      </c>
      <c r="AB140" s="24"/>
      <c r="AC140" s="28"/>
      <c r="AD140" s="23"/>
    </row>
    <row r="141" spans="1:31" x14ac:dyDescent="0.2">
      <c r="A141" s="83" t="s">
        <v>913</v>
      </c>
      <c r="B141" s="1" t="s">
        <v>647</v>
      </c>
      <c r="C141" s="1" t="s">
        <v>676</v>
      </c>
      <c r="D141" s="1" t="s">
        <v>677</v>
      </c>
      <c r="E141" s="80" t="s">
        <v>439</v>
      </c>
      <c r="F141" s="80" t="s">
        <v>696</v>
      </c>
      <c r="G141" s="80" t="s">
        <v>443</v>
      </c>
      <c r="H141" s="80" t="s">
        <v>718</v>
      </c>
      <c r="I141" s="73">
        <v>66527.955000000002</v>
      </c>
      <c r="J141" s="24">
        <f t="shared" si="2"/>
        <v>59875.159500000002</v>
      </c>
      <c r="K141" s="24">
        <v>82609.95</v>
      </c>
      <c r="L141" s="24">
        <v>82609.95</v>
      </c>
      <c r="M141" s="24">
        <v>82609.95</v>
      </c>
      <c r="N141" s="24">
        <v>82609.95</v>
      </c>
      <c r="O141" s="24">
        <v>82609.95</v>
      </c>
      <c r="P141" s="24">
        <v>82609.95</v>
      </c>
      <c r="Q141" s="24">
        <v>82609.95</v>
      </c>
      <c r="R141" s="24">
        <v>82609.95</v>
      </c>
      <c r="S141" s="73">
        <v>82609.95</v>
      </c>
      <c r="T141" s="24">
        <v>82609.95</v>
      </c>
      <c r="U141" s="24">
        <v>82609.95</v>
      </c>
      <c r="V141" s="24">
        <v>82609.95</v>
      </c>
      <c r="W141" s="24">
        <v>82609.95</v>
      </c>
      <c r="X141" s="24">
        <v>82609.95</v>
      </c>
      <c r="Y141" s="24">
        <v>82609.95</v>
      </c>
      <c r="Z141" s="24">
        <v>82609.95</v>
      </c>
      <c r="AA141" s="24">
        <v>82609.95</v>
      </c>
      <c r="AB141" s="24"/>
      <c r="AC141" s="28"/>
      <c r="AD141" s="23"/>
    </row>
    <row r="142" spans="1:31" x14ac:dyDescent="0.2">
      <c r="A142" s="83" t="s">
        <v>913</v>
      </c>
      <c r="B142" s="1" t="s">
        <v>488</v>
      </c>
      <c r="C142" s="1" t="s">
        <v>551</v>
      </c>
      <c r="D142" s="1" t="s">
        <v>489</v>
      </c>
      <c r="E142" s="80" t="s">
        <v>439</v>
      </c>
      <c r="F142" s="80" t="s">
        <v>859</v>
      </c>
      <c r="G142" s="80" t="s">
        <v>443</v>
      </c>
      <c r="H142" s="80" t="s">
        <v>718</v>
      </c>
      <c r="I142" s="24">
        <v>97829.955000000002</v>
      </c>
      <c r="J142" s="24">
        <f t="shared" si="2"/>
        <v>88046.959499999997</v>
      </c>
      <c r="K142" s="24">
        <v>108699.95</v>
      </c>
      <c r="L142" s="24">
        <v>108699.95</v>
      </c>
      <c r="M142" s="24">
        <v>108699.95</v>
      </c>
      <c r="N142" s="24">
        <v>108699.95</v>
      </c>
      <c r="O142" s="24">
        <v>108699.95</v>
      </c>
      <c r="P142" s="24">
        <v>108699.95</v>
      </c>
      <c r="Q142" s="24">
        <v>108699.95</v>
      </c>
      <c r="R142" s="24">
        <v>108699.95</v>
      </c>
      <c r="S142" s="73">
        <v>108699.95</v>
      </c>
      <c r="T142" s="24">
        <v>104349.95</v>
      </c>
      <c r="U142" s="24">
        <v>104349.95</v>
      </c>
      <c r="V142" s="24">
        <v>104349.95</v>
      </c>
      <c r="W142" s="24">
        <v>104349.95</v>
      </c>
      <c r="X142" s="24">
        <v>104349.95</v>
      </c>
      <c r="Y142" s="24">
        <v>104349.95</v>
      </c>
      <c r="Z142" s="24">
        <v>104349.95</v>
      </c>
      <c r="AA142" s="24">
        <v>99999.95</v>
      </c>
      <c r="AB142" s="24"/>
      <c r="AC142" s="28"/>
      <c r="AD142" s="23"/>
    </row>
    <row r="143" spans="1:31" x14ac:dyDescent="0.2">
      <c r="A143" s="83" t="s">
        <v>913</v>
      </c>
      <c r="B143" s="1" t="s">
        <v>811</v>
      </c>
      <c r="C143" s="1" t="s">
        <v>825</v>
      </c>
      <c r="D143" s="1" t="s">
        <v>813</v>
      </c>
      <c r="E143" s="80" t="s">
        <v>439</v>
      </c>
      <c r="F143" s="80" t="s">
        <v>816</v>
      </c>
      <c r="G143" s="80" t="s">
        <v>443</v>
      </c>
      <c r="H143" s="80" t="s">
        <v>718</v>
      </c>
      <c r="I143" s="24">
        <v>41480.955000000002</v>
      </c>
      <c r="J143" s="24">
        <f t="shared" si="2"/>
        <v>37332.859500000006</v>
      </c>
      <c r="K143" s="24">
        <v>46089.95</v>
      </c>
      <c r="L143" s="24">
        <v>46089.95</v>
      </c>
      <c r="M143" s="24">
        <v>46089.95</v>
      </c>
      <c r="N143" s="24">
        <v>46089.95</v>
      </c>
      <c r="O143" s="24">
        <v>46089.95</v>
      </c>
      <c r="P143" s="24">
        <v>46089.95</v>
      </c>
      <c r="Q143" s="24">
        <v>46089.95</v>
      </c>
      <c r="R143" s="24">
        <v>46089.95</v>
      </c>
      <c r="S143" s="73">
        <v>46089.95</v>
      </c>
      <c r="T143" s="24">
        <v>43479.95</v>
      </c>
      <c r="U143" s="24">
        <v>43479.95</v>
      </c>
      <c r="V143" s="24">
        <v>43479.95</v>
      </c>
      <c r="W143" s="72">
        <v>43479.95</v>
      </c>
      <c r="AB143" s="24"/>
      <c r="AC143" s="28"/>
      <c r="AD143" s="23"/>
    </row>
    <row r="144" spans="1:31" s="3" customFormat="1" x14ac:dyDescent="0.2">
      <c r="A144" s="83" t="s">
        <v>913</v>
      </c>
      <c r="B144" s="1" t="s">
        <v>457</v>
      </c>
      <c r="C144" s="1" t="s">
        <v>552</v>
      </c>
      <c r="D144" s="1" t="s">
        <v>459</v>
      </c>
      <c r="E144" s="80" t="s">
        <v>439</v>
      </c>
      <c r="F144" s="80" t="s">
        <v>461</v>
      </c>
      <c r="G144" s="80" t="s">
        <v>443</v>
      </c>
      <c r="H144" s="80" t="s">
        <v>718</v>
      </c>
      <c r="I144" s="24">
        <v>17999.955000000002</v>
      </c>
      <c r="J144" s="24">
        <f t="shared" si="2"/>
        <v>16199.959500000003</v>
      </c>
      <c r="K144" s="24">
        <v>19999.95</v>
      </c>
      <c r="L144" s="24">
        <v>19999.95</v>
      </c>
      <c r="M144" s="24">
        <v>19999.95</v>
      </c>
      <c r="N144" s="24">
        <v>19999.95</v>
      </c>
      <c r="O144" s="24">
        <v>19999.95</v>
      </c>
      <c r="P144" s="24">
        <v>19999.95</v>
      </c>
      <c r="Q144" s="24">
        <v>19999.95</v>
      </c>
      <c r="R144" s="24">
        <v>19999.95</v>
      </c>
      <c r="S144" s="73">
        <v>19999.95</v>
      </c>
      <c r="T144" s="24">
        <v>18259.95</v>
      </c>
      <c r="U144" s="24">
        <v>18259.95</v>
      </c>
      <c r="V144" s="24">
        <v>18259.95</v>
      </c>
      <c r="W144" s="24">
        <v>18259.95</v>
      </c>
      <c r="X144" s="24">
        <v>18259.95</v>
      </c>
      <c r="Y144" s="24">
        <v>18259.95</v>
      </c>
      <c r="Z144" s="24">
        <v>18259.95</v>
      </c>
      <c r="AA144" s="24">
        <v>16959.95</v>
      </c>
      <c r="AB144" s="24"/>
      <c r="AC144" s="28"/>
      <c r="AD144" s="23"/>
      <c r="AE144" s="1"/>
    </row>
    <row r="145" spans="1:31" s="3" customFormat="1" x14ac:dyDescent="0.2">
      <c r="A145" s="83" t="s">
        <v>913</v>
      </c>
      <c r="B145" s="1" t="s">
        <v>458</v>
      </c>
      <c r="C145" s="1"/>
      <c r="D145" s="1" t="s">
        <v>460</v>
      </c>
      <c r="E145" s="80" t="s">
        <v>439</v>
      </c>
      <c r="F145" s="80" t="s">
        <v>462</v>
      </c>
      <c r="G145" s="80" t="s">
        <v>443</v>
      </c>
      <c r="H145" s="80" t="s">
        <v>718</v>
      </c>
      <c r="I145" s="24">
        <v>21131.955000000002</v>
      </c>
      <c r="J145" s="24">
        <f t="shared" si="2"/>
        <v>19018.759500000004</v>
      </c>
      <c r="K145" s="24">
        <v>23479.95</v>
      </c>
      <c r="L145" s="24">
        <v>23479.95</v>
      </c>
      <c r="M145" s="24">
        <v>23479.95</v>
      </c>
      <c r="N145" s="24">
        <v>23479.95</v>
      </c>
      <c r="O145" s="24">
        <v>23479.95</v>
      </c>
      <c r="P145" s="24">
        <v>23479.95</v>
      </c>
      <c r="Q145" s="24">
        <v>23479.95</v>
      </c>
      <c r="R145" s="24">
        <v>23479.95</v>
      </c>
      <c r="S145" s="73">
        <v>23479.95</v>
      </c>
      <c r="T145" s="24">
        <v>21739.95</v>
      </c>
      <c r="U145" s="24">
        <v>21739.95</v>
      </c>
      <c r="V145" s="24">
        <v>21739.95</v>
      </c>
      <c r="W145" s="24">
        <v>21739.95</v>
      </c>
      <c r="X145" s="24">
        <v>21739.95</v>
      </c>
      <c r="Y145" s="24">
        <v>21739.95</v>
      </c>
      <c r="Z145" s="24">
        <v>21739.95</v>
      </c>
      <c r="AA145" s="24">
        <v>19999.95</v>
      </c>
      <c r="AB145" s="24"/>
      <c r="AC145" s="28"/>
      <c r="AD145" s="23"/>
      <c r="AE145" s="1"/>
    </row>
    <row r="146" spans="1:31" s="3" customFormat="1" x14ac:dyDescent="0.2">
      <c r="A146" s="83" t="s">
        <v>913</v>
      </c>
      <c r="B146" s="1" t="s">
        <v>812</v>
      </c>
      <c r="C146" s="1"/>
      <c r="D146" s="1" t="s">
        <v>814</v>
      </c>
      <c r="E146" s="80" t="s">
        <v>439</v>
      </c>
      <c r="F146" s="80" t="s">
        <v>223</v>
      </c>
      <c r="G146" s="80" t="s">
        <v>443</v>
      </c>
      <c r="H146" s="80" t="s">
        <v>718</v>
      </c>
      <c r="I146" s="24">
        <v>41480.955000000002</v>
      </c>
      <c r="J146" s="24">
        <f t="shared" si="2"/>
        <v>37332.859500000006</v>
      </c>
      <c r="K146" s="24">
        <v>46089.95</v>
      </c>
      <c r="L146" s="24">
        <v>46089.95</v>
      </c>
      <c r="M146" s="24">
        <v>46089.95</v>
      </c>
      <c r="N146" s="24">
        <v>46089.95</v>
      </c>
      <c r="O146" s="24">
        <v>46089.95</v>
      </c>
      <c r="P146" s="24">
        <v>46089.95</v>
      </c>
      <c r="Q146" s="24">
        <v>46089.95</v>
      </c>
      <c r="R146" s="24">
        <v>46089.95</v>
      </c>
      <c r="S146" s="73">
        <v>46089.95</v>
      </c>
      <c r="T146" s="24">
        <v>43479.95</v>
      </c>
      <c r="U146" s="24">
        <v>43479.95</v>
      </c>
      <c r="V146" s="24">
        <v>43479.95</v>
      </c>
      <c r="W146" s="72">
        <v>43479.95</v>
      </c>
      <c r="X146" s="24"/>
      <c r="Y146" s="24"/>
      <c r="Z146" s="24"/>
      <c r="AA146" s="24"/>
      <c r="AB146" s="24"/>
      <c r="AC146" s="28"/>
      <c r="AD146" s="23"/>
      <c r="AE146" s="1"/>
    </row>
    <row r="147" spans="1:31" s="3" customFormat="1" x14ac:dyDescent="0.2">
      <c r="A147" s="83" t="s">
        <v>913</v>
      </c>
      <c r="B147" s="1" t="s">
        <v>484</v>
      </c>
      <c r="C147" s="1" t="s">
        <v>498</v>
      </c>
      <c r="D147" s="1" t="s">
        <v>491</v>
      </c>
      <c r="E147" s="80" t="s">
        <v>438</v>
      </c>
      <c r="F147" s="80" t="s">
        <v>611</v>
      </c>
      <c r="G147" s="80" t="s">
        <v>443</v>
      </c>
      <c r="H147" s="80" t="s">
        <v>718</v>
      </c>
      <c r="I147" s="24">
        <v>50876.955000000002</v>
      </c>
      <c r="J147" s="24">
        <f t="shared" si="2"/>
        <v>45789.2595</v>
      </c>
      <c r="K147" s="24">
        <v>56529.95</v>
      </c>
      <c r="L147" s="24">
        <v>56529.95</v>
      </c>
      <c r="M147" s="24">
        <v>56529.95</v>
      </c>
      <c r="N147" s="24">
        <v>56529.95</v>
      </c>
      <c r="O147" s="24">
        <v>56529.95</v>
      </c>
      <c r="P147" s="24">
        <v>56529.95</v>
      </c>
      <c r="Q147" s="24">
        <v>56529.95</v>
      </c>
      <c r="R147" s="24">
        <v>56529.95</v>
      </c>
      <c r="S147" s="73">
        <v>56529.95</v>
      </c>
      <c r="T147" s="24">
        <v>53919.95</v>
      </c>
      <c r="U147" s="24">
        <v>53919.95</v>
      </c>
      <c r="V147" s="24">
        <v>53919.95</v>
      </c>
      <c r="W147" s="24">
        <v>53919.95</v>
      </c>
      <c r="X147" s="24">
        <v>53919.95</v>
      </c>
      <c r="Y147" s="24">
        <v>53919.95</v>
      </c>
      <c r="Z147" s="24">
        <v>53919.95</v>
      </c>
      <c r="AA147" s="24">
        <v>52179.95</v>
      </c>
      <c r="AB147" s="24"/>
      <c r="AC147" s="28"/>
      <c r="AD147" s="23"/>
      <c r="AE147" s="1"/>
    </row>
    <row r="148" spans="1:31" s="3" customFormat="1" x14ac:dyDescent="0.2">
      <c r="A148" s="83" t="s">
        <v>913</v>
      </c>
      <c r="B148" s="1" t="s">
        <v>422</v>
      </c>
      <c r="C148" s="1" t="s">
        <v>428</v>
      </c>
      <c r="D148" s="1" t="s">
        <v>423</v>
      </c>
      <c r="E148" s="80" t="s">
        <v>438</v>
      </c>
      <c r="F148" s="80" t="s">
        <v>426</v>
      </c>
      <c r="G148" s="80" t="s">
        <v>443</v>
      </c>
      <c r="H148" s="80" t="s">
        <v>718</v>
      </c>
      <c r="I148" s="24">
        <v>18782.955000000002</v>
      </c>
      <c r="J148" s="24">
        <f t="shared" si="2"/>
        <v>16904.659500000002</v>
      </c>
      <c r="K148" s="24">
        <v>20869.95</v>
      </c>
      <c r="L148" s="24">
        <v>20869.95</v>
      </c>
      <c r="M148" s="24">
        <v>20869.95</v>
      </c>
      <c r="N148" s="24">
        <v>20869.95</v>
      </c>
      <c r="O148" s="24">
        <v>20869.95</v>
      </c>
      <c r="P148" s="24">
        <v>20869.95</v>
      </c>
      <c r="Q148" s="24">
        <v>20869.95</v>
      </c>
      <c r="R148" s="24">
        <v>20869.95</v>
      </c>
      <c r="S148" s="73">
        <v>20869.95</v>
      </c>
      <c r="T148" s="24">
        <v>19569.95</v>
      </c>
      <c r="U148" s="24">
        <v>19569.95</v>
      </c>
      <c r="V148" s="24">
        <v>19569.95</v>
      </c>
      <c r="W148" s="24">
        <v>19569.95</v>
      </c>
      <c r="X148" s="24">
        <v>19569.95</v>
      </c>
      <c r="Y148" s="24">
        <v>19569.95</v>
      </c>
      <c r="Z148" s="24">
        <v>19569.95</v>
      </c>
      <c r="AA148" s="24">
        <v>19129.95</v>
      </c>
      <c r="AB148" s="24"/>
      <c r="AC148" s="28"/>
      <c r="AD148" s="23"/>
      <c r="AE148" s="1"/>
    </row>
    <row r="149" spans="1:31" s="3" customFormat="1" x14ac:dyDescent="0.2">
      <c r="A149" s="83" t="s">
        <v>913</v>
      </c>
      <c r="B149" s="1" t="s">
        <v>635</v>
      </c>
      <c r="C149" s="1" t="s">
        <v>715</v>
      </c>
      <c r="D149" s="1" t="s">
        <v>636</v>
      </c>
      <c r="E149" s="80" t="s">
        <v>438</v>
      </c>
      <c r="F149" s="80" t="s">
        <v>860</v>
      </c>
      <c r="G149" s="80" t="s">
        <v>443</v>
      </c>
      <c r="H149" s="80" t="s">
        <v>718</v>
      </c>
      <c r="I149" s="24">
        <v>6263.9549999999999</v>
      </c>
      <c r="J149" s="24">
        <f t="shared" si="2"/>
        <v>5637.5595000000003</v>
      </c>
      <c r="K149" s="24">
        <v>6959.95</v>
      </c>
      <c r="L149" s="24">
        <v>6959.95</v>
      </c>
      <c r="M149" s="24">
        <v>6959.95</v>
      </c>
      <c r="N149" s="24">
        <v>6959.95</v>
      </c>
      <c r="O149" s="24">
        <v>6959.95</v>
      </c>
      <c r="P149" s="24">
        <v>6959.95</v>
      </c>
      <c r="Q149" s="24">
        <v>6959.95</v>
      </c>
      <c r="R149" s="24">
        <v>6959.95</v>
      </c>
      <c r="S149" s="73">
        <v>6959.95</v>
      </c>
      <c r="T149" s="24">
        <v>6959.95</v>
      </c>
      <c r="U149" s="24">
        <v>6959.95</v>
      </c>
      <c r="V149" s="24">
        <v>6959.95</v>
      </c>
      <c r="W149" s="24">
        <v>6959.95</v>
      </c>
      <c r="X149" s="24">
        <v>6959.95</v>
      </c>
      <c r="Y149" s="24">
        <v>6959.95</v>
      </c>
      <c r="Z149" s="24">
        <v>6959.95</v>
      </c>
      <c r="AA149" s="24">
        <v>6959.95</v>
      </c>
      <c r="AB149" s="24"/>
      <c r="AC149" s="28"/>
      <c r="AD149" s="23"/>
      <c r="AE149" s="1"/>
    </row>
    <row r="150" spans="1:31" s="3" customFormat="1" x14ac:dyDescent="0.2">
      <c r="A150" s="83" t="s">
        <v>913</v>
      </c>
      <c r="B150" s="1" t="s">
        <v>822</v>
      </c>
      <c r="C150" s="1" t="s">
        <v>820</v>
      </c>
      <c r="D150" s="1" t="s">
        <v>821</v>
      </c>
      <c r="E150" s="80" t="s">
        <v>438</v>
      </c>
      <c r="F150" s="80" t="s">
        <v>861</v>
      </c>
      <c r="G150" s="80" t="s">
        <v>443</v>
      </c>
      <c r="H150" s="80" t="s">
        <v>718</v>
      </c>
      <c r="I150" s="24">
        <v>46961.955000000002</v>
      </c>
      <c r="J150" s="24">
        <f t="shared" si="2"/>
        <v>42265.7595</v>
      </c>
      <c r="K150" s="24">
        <v>52179.95</v>
      </c>
      <c r="L150" s="24">
        <v>52179.95</v>
      </c>
      <c r="M150" s="24">
        <v>52179.95</v>
      </c>
      <c r="N150" s="24">
        <v>52179.95</v>
      </c>
      <c r="O150" s="24">
        <v>52179.95</v>
      </c>
      <c r="P150" s="24">
        <v>52179.95</v>
      </c>
      <c r="Q150" s="24">
        <v>52179.95</v>
      </c>
      <c r="R150" s="24">
        <v>52179.95</v>
      </c>
      <c r="S150" s="73">
        <v>52179.95</v>
      </c>
      <c r="T150" s="24">
        <v>50439.95</v>
      </c>
      <c r="U150" s="24">
        <v>50439.95</v>
      </c>
      <c r="V150" s="24">
        <v>50439.95</v>
      </c>
      <c r="W150" s="72">
        <v>50439.95</v>
      </c>
      <c r="X150" s="24"/>
      <c r="Y150" s="24"/>
      <c r="Z150" s="24"/>
      <c r="AA150" s="24"/>
      <c r="AB150" s="24"/>
      <c r="AC150" s="28"/>
      <c r="AD150" s="23"/>
      <c r="AE150" s="1"/>
    </row>
    <row r="151" spans="1:31" s="3" customFormat="1" x14ac:dyDescent="0.2">
      <c r="A151" s="83" t="s">
        <v>913</v>
      </c>
      <c r="B151" s="1" t="s">
        <v>407</v>
      </c>
      <c r="C151" s="1" t="s">
        <v>403</v>
      </c>
      <c r="D151" s="1" t="s">
        <v>398</v>
      </c>
      <c r="E151" s="80" t="s">
        <v>438</v>
      </c>
      <c r="F151" s="85" t="s">
        <v>406</v>
      </c>
      <c r="G151" s="80" t="s">
        <v>443</v>
      </c>
      <c r="H151" s="80" t="s">
        <v>718</v>
      </c>
      <c r="I151" s="24">
        <v>39131.955000000002</v>
      </c>
      <c r="J151" s="24">
        <f t="shared" si="2"/>
        <v>35218.7595</v>
      </c>
      <c r="K151" s="24">
        <v>43479.95</v>
      </c>
      <c r="L151" s="24">
        <v>43479.95</v>
      </c>
      <c r="M151" s="24">
        <v>43479.95</v>
      </c>
      <c r="N151" s="24">
        <v>43479.95</v>
      </c>
      <c r="O151" s="24">
        <v>43479.95</v>
      </c>
      <c r="P151" s="24">
        <v>43479.95</v>
      </c>
      <c r="Q151" s="24">
        <v>43479.95</v>
      </c>
      <c r="R151" s="24">
        <v>43479.95</v>
      </c>
      <c r="S151" s="73">
        <v>43479.95</v>
      </c>
      <c r="T151" s="24">
        <v>42179.95</v>
      </c>
      <c r="U151" s="24">
        <v>42179.95</v>
      </c>
      <c r="V151" s="24">
        <v>42179.95</v>
      </c>
      <c r="W151" s="24">
        <v>42179.95</v>
      </c>
      <c r="X151" s="24">
        <v>42179.95</v>
      </c>
      <c r="Y151" s="24">
        <v>42179.95</v>
      </c>
      <c r="Z151" s="24">
        <v>42179.95</v>
      </c>
      <c r="AA151" s="24">
        <v>40869.949999999997</v>
      </c>
      <c r="AB151" s="24"/>
      <c r="AC151" s="28"/>
      <c r="AD151" s="23"/>
      <c r="AE151" s="1"/>
    </row>
    <row r="152" spans="1:31" s="3" customFormat="1" x14ac:dyDescent="0.2">
      <c r="A152" s="83" t="s">
        <v>913</v>
      </c>
      <c r="B152" s="1" t="s">
        <v>104</v>
      </c>
      <c r="C152" s="1" t="s">
        <v>258</v>
      </c>
      <c r="D152" s="1" t="s">
        <v>207</v>
      </c>
      <c r="E152" s="80" t="s">
        <v>438</v>
      </c>
      <c r="F152" s="85" t="s">
        <v>346</v>
      </c>
      <c r="G152" s="80" t="s">
        <v>443</v>
      </c>
      <c r="H152" s="80" t="s">
        <v>718</v>
      </c>
      <c r="I152" s="24">
        <v>23480.955000000002</v>
      </c>
      <c r="J152" s="24">
        <f t="shared" si="2"/>
        <v>21132.859500000002</v>
      </c>
      <c r="K152" s="24">
        <v>26089.95</v>
      </c>
      <c r="L152" s="24">
        <v>26089.95</v>
      </c>
      <c r="M152" s="24">
        <v>26089.95</v>
      </c>
      <c r="N152" s="24">
        <v>26089.95</v>
      </c>
      <c r="O152" s="24">
        <v>26089.95</v>
      </c>
      <c r="P152" s="24">
        <v>26089.95</v>
      </c>
      <c r="Q152" s="24">
        <v>26089.95</v>
      </c>
      <c r="R152" s="24">
        <v>26089.95</v>
      </c>
      <c r="S152" s="73">
        <v>26089.95</v>
      </c>
      <c r="T152" s="24">
        <v>24789.95</v>
      </c>
      <c r="U152" s="24">
        <v>24789.95</v>
      </c>
      <c r="V152" s="24">
        <v>24789.95</v>
      </c>
      <c r="W152" s="24">
        <v>24789.95</v>
      </c>
      <c r="X152" s="24">
        <v>24789.95</v>
      </c>
      <c r="Y152" s="24">
        <v>24789.95</v>
      </c>
      <c r="Z152" s="24">
        <v>24789.95</v>
      </c>
      <c r="AA152" s="24">
        <v>24349.95</v>
      </c>
      <c r="AB152" s="24"/>
      <c r="AC152" s="28"/>
      <c r="AD152" s="23"/>
      <c r="AE152" s="1"/>
    </row>
    <row r="153" spans="1:31" s="3" customFormat="1" x14ac:dyDescent="0.2">
      <c r="A153" s="83" t="s">
        <v>913</v>
      </c>
      <c r="B153" s="1" t="s">
        <v>105</v>
      </c>
      <c r="C153" s="1" t="s">
        <v>208</v>
      </c>
      <c r="D153" s="1" t="s">
        <v>209</v>
      </c>
      <c r="E153" s="80" t="s">
        <v>438</v>
      </c>
      <c r="F153" s="80" t="s">
        <v>291</v>
      </c>
      <c r="G153" s="80" t="s">
        <v>443</v>
      </c>
      <c r="H153" s="80" t="s">
        <v>718</v>
      </c>
      <c r="I153" s="24">
        <v>3545.9549999999999</v>
      </c>
      <c r="J153" s="24">
        <f t="shared" si="2"/>
        <v>3191.3595</v>
      </c>
      <c r="K153" s="24">
        <v>3939.95</v>
      </c>
      <c r="L153" s="24">
        <v>3939.95</v>
      </c>
      <c r="M153" s="24">
        <v>3939.95</v>
      </c>
      <c r="N153" s="24">
        <v>3939.95</v>
      </c>
      <c r="O153" s="24">
        <v>3939.95</v>
      </c>
      <c r="P153" s="24">
        <v>3939.95</v>
      </c>
      <c r="Q153" s="24">
        <v>3939.95</v>
      </c>
      <c r="R153" s="24">
        <v>3939.95</v>
      </c>
      <c r="S153" s="73">
        <v>3939.95</v>
      </c>
      <c r="T153" s="24">
        <v>3939.95</v>
      </c>
      <c r="U153" s="24">
        <v>3939.95</v>
      </c>
      <c r="V153" s="24">
        <v>3939.95</v>
      </c>
      <c r="W153" s="24">
        <v>3939.95</v>
      </c>
      <c r="X153" s="24">
        <v>3939.95</v>
      </c>
      <c r="Y153" s="24">
        <v>3939.95</v>
      </c>
      <c r="Z153" s="24">
        <v>3939.95</v>
      </c>
      <c r="AA153" s="24">
        <v>3939.95</v>
      </c>
      <c r="AB153" s="24"/>
      <c r="AC153" s="28"/>
      <c r="AD153" s="23"/>
      <c r="AE153" s="1"/>
    </row>
    <row r="154" spans="1:31" x14ac:dyDescent="0.2">
      <c r="A154" s="83" t="s">
        <v>913</v>
      </c>
      <c r="B154" s="1" t="s">
        <v>452</v>
      </c>
      <c r="C154" s="1" t="s">
        <v>453</v>
      </c>
      <c r="D154" s="1" t="s">
        <v>454</v>
      </c>
      <c r="E154" s="80" t="s">
        <v>438</v>
      </c>
      <c r="F154" s="85" t="s">
        <v>455</v>
      </c>
      <c r="G154" s="80" t="s">
        <v>443</v>
      </c>
      <c r="H154" s="80" t="s">
        <v>718</v>
      </c>
      <c r="I154" s="24">
        <v>3545.9549999999999</v>
      </c>
      <c r="J154" s="24">
        <f t="shared" si="2"/>
        <v>3191.3595</v>
      </c>
      <c r="K154" s="24">
        <v>3939.95</v>
      </c>
      <c r="L154" s="24">
        <v>3939.95</v>
      </c>
      <c r="M154" s="24">
        <v>3939.95</v>
      </c>
      <c r="N154" s="24">
        <v>3939.95</v>
      </c>
      <c r="O154" s="24">
        <v>3939.95</v>
      </c>
      <c r="P154" s="24">
        <v>3939.95</v>
      </c>
      <c r="Q154" s="24">
        <v>3939.95</v>
      </c>
      <c r="R154" s="24">
        <v>3939.95</v>
      </c>
      <c r="S154" s="73">
        <v>3939.95</v>
      </c>
      <c r="T154" s="24">
        <v>3939.95</v>
      </c>
      <c r="U154" s="24">
        <v>3939.95</v>
      </c>
      <c r="V154" s="24">
        <v>3939.95</v>
      </c>
      <c r="W154" s="24">
        <v>3939.95</v>
      </c>
      <c r="X154" s="24">
        <v>3939.95</v>
      </c>
      <c r="Y154" s="24">
        <v>3939.95</v>
      </c>
      <c r="Z154" s="24">
        <v>3939.95</v>
      </c>
      <c r="AA154" s="24">
        <v>3939.95</v>
      </c>
      <c r="AB154" s="24"/>
      <c r="AC154" s="28"/>
      <c r="AD154" s="23"/>
    </row>
    <row r="155" spans="1:31" x14ac:dyDescent="0.2">
      <c r="A155" s="83" t="s">
        <v>913</v>
      </c>
      <c r="B155" s="1" t="s">
        <v>482</v>
      </c>
      <c r="C155" s="1" t="s">
        <v>497</v>
      </c>
      <c r="D155" s="1" t="s">
        <v>500</v>
      </c>
      <c r="E155" s="80" t="s">
        <v>438</v>
      </c>
      <c r="F155" s="80" t="s">
        <v>578</v>
      </c>
      <c r="G155" s="80" t="s">
        <v>443</v>
      </c>
      <c r="H155" s="80" t="s">
        <v>718</v>
      </c>
      <c r="I155" s="24">
        <v>17216.955000000002</v>
      </c>
      <c r="J155" s="24">
        <f t="shared" si="2"/>
        <v>15495.259500000002</v>
      </c>
      <c r="K155" s="24">
        <v>19129.95</v>
      </c>
      <c r="L155" s="24">
        <v>19129.95</v>
      </c>
      <c r="M155" s="24">
        <v>19129.95</v>
      </c>
      <c r="N155" s="24">
        <v>19129.95</v>
      </c>
      <c r="O155" s="24">
        <v>19129.95</v>
      </c>
      <c r="P155" s="24">
        <v>19129.95</v>
      </c>
      <c r="Q155" s="24">
        <v>19129.95</v>
      </c>
      <c r="R155" s="24">
        <v>19129.95</v>
      </c>
      <c r="S155" s="73">
        <v>19129.95</v>
      </c>
      <c r="T155" s="24">
        <v>17829.95</v>
      </c>
      <c r="U155" s="24">
        <v>17829.95</v>
      </c>
      <c r="V155" s="24">
        <v>17829.95</v>
      </c>
      <c r="W155" s="24">
        <v>17829.95</v>
      </c>
      <c r="X155" s="24">
        <v>17829.95</v>
      </c>
      <c r="Y155" s="24">
        <v>17829.95</v>
      </c>
      <c r="Z155" s="24">
        <v>17829.95</v>
      </c>
      <c r="AA155" s="24">
        <v>17399.95</v>
      </c>
      <c r="AB155" s="24"/>
      <c r="AC155" s="28"/>
      <c r="AD155" s="23"/>
    </row>
    <row r="156" spans="1:31" x14ac:dyDescent="0.2">
      <c r="A156" s="83" t="s">
        <v>913</v>
      </c>
      <c r="B156" s="1" t="s">
        <v>107</v>
      </c>
      <c r="C156" s="1" t="s">
        <v>211</v>
      </c>
      <c r="D156" s="1" t="s">
        <v>376</v>
      </c>
      <c r="E156" s="80" t="s">
        <v>438</v>
      </c>
      <c r="F156" s="85" t="s">
        <v>352</v>
      </c>
      <c r="G156" s="80" t="s">
        <v>443</v>
      </c>
      <c r="H156" s="80" t="s">
        <v>718</v>
      </c>
      <c r="I156" s="24">
        <v>14480.955000000002</v>
      </c>
      <c r="J156" s="24">
        <f t="shared" si="2"/>
        <v>13032.859500000002</v>
      </c>
      <c r="K156" s="24">
        <v>16089.95</v>
      </c>
      <c r="L156" s="24">
        <v>16089.95</v>
      </c>
      <c r="M156" s="24">
        <v>16089.95</v>
      </c>
      <c r="N156" s="24">
        <v>16089.95</v>
      </c>
      <c r="O156" s="24">
        <v>16089.95</v>
      </c>
      <c r="P156" s="24">
        <v>16089.95</v>
      </c>
      <c r="Q156" s="24">
        <v>16089.95</v>
      </c>
      <c r="R156" s="24">
        <v>16089.95</v>
      </c>
      <c r="S156" s="73">
        <v>16089.95</v>
      </c>
      <c r="T156" s="24">
        <v>15649.95</v>
      </c>
      <c r="U156" s="24">
        <v>15649.95</v>
      </c>
      <c r="V156" s="24">
        <v>15649.95</v>
      </c>
      <c r="W156" s="24">
        <v>15649.95</v>
      </c>
      <c r="X156" s="24">
        <v>15649.95</v>
      </c>
      <c r="Y156" s="24">
        <v>15649.95</v>
      </c>
      <c r="Z156" s="24">
        <v>15649.95</v>
      </c>
      <c r="AA156" s="24">
        <v>15219.95</v>
      </c>
      <c r="AB156" s="24"/>
      <c r="AC156" s="28"/>
      <c r="AD156" s="23"/>
    </row>
    <row r="157" spans="1:31" x14ac:dyDescent="0.2">
      <c r="A157" s="83" t="s">
        <v>913</v>
      </c>
      <c r="B157" s="1" t="s">
        <v>603</v>
      </c>
      <c r="C157" s="1" t="s">
        <v>714</v>
      </c>
      <c r="D157" s="1" t="s">
        <v>604</v>
      </c>
      <c r="E157" s="80" t="s">
        <v>438</v>
      </c>
      <c r="F157" s="85" t="s">
        <v>605</v>
      </c>
      <c r="G157" s="80" t="s">
        <v>443</v>
      </c>
      <c r="H157" s="80" t="s">
        <v>718</v>
      </c>
      <c r="I157" s="24">
        <v>21914.955000000002</v>
      </c>
      <c r="J157" s="24">
        <f t="shared" si="2"/>
        <v>19723.459500000001</v>
      </c>
      <c r="K157" s="24">
        <v>24349.95</v>
      </c>
      <c r="L157" s="24">
        <v>24349.95</v>
      </c>
      <c r="M157" s="24">
        <v>24349.95</v>
      </c>
      <c r="N157" s="24">
        <v>24349.95</v>
      </c>
      <c r="O157" s="24">
        <v>24349.95</v>
      </c>
      <c r="P157" s="24">
        <v>24349.95</v>
      </c>
      <c r="Q157" s="24">
        <v>24349.95</v>
      </c>
      <c r="R157" s="24">
        <v>24349.95</v>
      </c>
      <c r="S157" s="73">
        <v>24349.95</v>
      </c>
      <c r="T157" s="24">
        <v>23469.95</v>
      </c>
      <c r="U157" s="24">
        <v>23469.95</v>
      </c>
      <c r="V157" s="24">
        <v>23469.95</v>
      </c>
      <c r="W157" s="24">
        <v>23469.95</v>
      </c>
      <c r="X157" s="24">
        <v>23469.95</v>
      </c>
      <c r="Y157" s="24">
        <v>23469.95</v>
      </c>
      <c r="Z157" s="24">
        <v>23469.95</v>
      </c>
      <c r="AA157" s="24">
        <v>23469.95</v>
      </c>
      <c r="AB157" s="24"/>
      <c r="AC157" s="28"/>
      <c r="AD157" s="23"/>
    </row>
    <row r="158" spans="1:31" x14ac:dyDescent="0.2">
      <c r="A158" s="83" t="s">
        <v>913</v>
      </c>
      <c r="B158" s="1" t="s">
        <v>108</v>
      </c>
      <c r="C158" s="1" t="s">
        <v>212</v>
      </c>
      <c r="D158" s="1" t="s">
        <v>213</v>
      </c>
      <c r="E158" s="80" t="s">
        <v>438</v>
      </c>
      <c r="F158" s="85" t="s">
        <v>350</v>
      </c>
      <c r="G158" s="80" t="s">
        <v>443</v>
      </c>
      <c r="H158" s="80" t="s">
        <v>718</v>
      </c>
      <c r="I158" s="24">
        <v>40697.955000000002</v>
      </c>
      <c r="J158" s="24">
        <f t="shared" si="2"/>
        <v>36628.159500000002</v>
      </c>
      <c r="K158" s="24">
        <v>45219.95</v>
      </c>
      <c r="L158" s="24">
        <v>45219.95</v>
      </c>
      <c r="M158" s="24">
        <v>45219.95</v>
      </c>
      <c r="N158" s="24">
        <v>45219.95</v>
      </c>
      <c r="O158" s="24">
        <v>45219.95</v>
      </c>
      <c r="P158" s="24">
        <v>45219.95</v>
      </c>
      <c r="Q158" s="24">
        <v>45219.95</v>
      </c>
      <c r="R158" s="24">
        <v>45219.95</v>
      </c>
      <c r="S158" s="73">
        <v>45219.95</v>
      </c>
      <c r="T158" s="24">
        <v>43499.95</v>
      </c>
      <c r="U158" s="24">
        <v>43499.95</v>
      </c>
      <c r="V158" s="24">
        <v>43499.95</v>
      </c>
      <c r="W158" s="24">
        <v>43499.95</v>
      </c>
      <c r="X158" s="24">
        <v>43499.95</v>
      </c>
      <c r="Y158" s="24">
        <v>43499.95</v>
      </c>
      <c r="Z158" s="24">
        <v>43499.95</v>
      </c>
      <c r="AA158" s="24">
        <v>43499.95</v>
      </c>
      <c r="AB158" s="24"/>
      <c r="AC158" s="28"/>
      <c r="AD158" s="23"/>
    </row>
    <row r="159" spans="1:31" x14ac:dyDescent="0.2">
      <c r="A159" s="83" t="s">
        <v>913</v>
      </c>
      <c r="B159" s="1" t="s">
        <v>109</v>
      </c>
      <c r="C159" s="1" t="s">
        <v>259</v>
      </c>
      <c r="D159" s="1" t="s">
        <v>377</v>
      </c>
      <c r="E159" s="80" t="s">
        <v>438</v>
      </c>
      <c r="F159" s="85" t="s">
        <v>347</v>
      </c>
      <c r="G159" s="80" t="s">
        <v>443</v>
      </c>
      <c r="H159" s="80" t="s">
        <v>718</v>
      </c>
      <c r="I159" s="24">
        <v>13049.955000000002</v>
      </c>
      <c r="J159" s="24">
        <f t="shared" si="2"/>
        <v>11744.959500000003</v>
      </c>
      <c r="K159" s="24">
        <v>14499.95</v>
      </c>
      <c r="L159" s="24">
        <v>14499.95</v>
      </c>
      <c r="M159" s="24">
        <v>14499.95</v>
      </c>
      <c r="N159" s="24">
        <v>14499.95</v>
      </c>
      <c r="O159" s="24">
        <v>14499.95</v>
      </c>
      <c r="P159" s="24">
        <v>14499.95</v>
      </c>
      <c r="Q159" s="24">
        <v>14499.95</v>
      </c>
      <c r="R159" s="24">
        <v>14499.95</v>
      </c>
      <c r="S159" s="73">
        <v>14499.95</v>
      </c>
      <c r="T159" s="24">
        <v>14499.95</v>
      </c>
      <c r="U159" s="24">
        <v>14499.95</v>
      </c>
      <c r="V159" s="24">
        <v>14499.95</v>
      </c>
      <c r="W159" s="24">
        <v>14499.95</v>
      </c>
      <c r="X159" s="24">
        <v>14499.95</v>
      </c>
      <c r="Y159" s="24">
        <v>14499.95</v>
      </c>
      <c r="Z159" s="24">
        <v>14499.95</v>
      </c>
      <c r="AA159" s="24">
        <v>14499.95</v>
      </c>
      <c r="AB159" s="24"/>
      <c r="AC159" s="28"/>
      <c r="AD159" s="23"/>
    </row>
    <row r="160" spans="1:31" x14ac:dyDescent="0.2">
      <c r="A160" s="83" t="s">
        <v>913</v>
      </c>
      <c r="B160" s="1" t="s">
        <v>710</v>
      </c>
      <c r="C160" s="1" t="s">
        <v>712</v>
      </c>
      <c r="D160" s="1" t="s">
        <v>711</v>
      </c>
      <c r="E160" s="80" t="s">
        <v>438</v>
      </c>
      <c r="F160" s="85" t="s">
        <v>713</v>
      </c>
      <c r="G160" s="80" t="s">
        <v>443</v>
      </c>
      <c r="H160" s="80" t="s">
        <v>718</v>
      </c>
      <c r="I160" s="24">
        <v>33650.955000000002</v>
      </c>
      <c r="J160" s="24">
        <f t="shared" si="2"/>
        <v>30285.859500000002</v>
      </c>
      <c r="K160" s="24">
        <v>37389.949999999997</v>
      </c>
      <c r="L160" s="24">
        <v>37389.949999999997</v>
      </c>
      <c r="M160" s="24">
        <v>37389.949999999997</v>
      </c>
      <c r="N160" s="24">
        <v>37389.949999999997</v>
      </c>
      <c r="O160" s="24">
        <v>37389.949999999997</v>
      </c>
      <c r="P160" s="24">
        <v>37389.949999999997</v>
      </c>
      <c r="Q160" s="24">
        <v>37389.949999999997</v>
      </c>
      <c r="R160" s="24">
        <v>37389.949999999997</v>
      </c>
      <c r="S160" s="73">
        <v>37389.949999999997</v>
      </c>
      <c r="T160" s="24">
        <v>34779.949999999997</v>
      </c>
      <c r="U160" s="24">
        <v>34779.949999999997</v>
      </c>
      <c r="V160" s="24">
        <v>34779.949999999997</v>
      </c>
      <c r="W160" s="24">
        <v>34779.949999999997</v>
      </c>
      <c r="X160" s="24">
        <v>34779.949999999997</v>
      </c>
      <c r="Y160" s="24">
        <v>34779.949999999997</v>
      </c>
      <c r="Z160" s="24">
        <v>34779.949999999997</v>
      </c>
      <c r="AB160" s="24"/>
      <c r="AC160" s="28"/>
      <c r="AD160" s="23"/>
    </row>
    <row r="161" spans="1:30" x14ac:dyDescent="0.2">
      <c r="A161" s="83" t="s">
        <v>913</v>
      </c>
      <c r="B161" s="1" t="s">
        <v>473</v>
      </c>
      <c r="C161" s="1" t="s">
        <v>475</v>
      </c>
      <c r="D161" s="1" t="s">
        <v>474</v>
      </c>
      <c r="E161" s="80" t="s">
        <v>438</v>
      </c>
      <c r="F161" s="85" t="s">
        <v>577</v>
      </c>
      <c r="G161" s="80" t="s">
        <v>443</v>
      </c>
      <c r="H161" s="80" t="s">
        <v>718</v>
      </c>
      <c r="I161" s="24">
        <v>9944.9550000000017</v>
      </c>
      <c r="J161" s="24">
        <f t="shared" si="2"/>
        <v>8950.4595000000027</v>
      </c>
      <c r="K161" s="24">
        <v>11049.95</v>
      </c>
      <c r="L161" s="24">
        <v>11049.95</v>
      </c>
      <c r="M161" s="24">
        <v>11049.95</v>
      </c>
      <c r="N161" s="24">
        <v>11049.95</v>
      </c>
      <c r="O161" s="24">
        <v>11049.95</v>
      </c>
      <c r="P161" s="24">
        <v>11049.95</v>
      </c>
      <c r="Q161" s="24">
        <v>11049.95</v>
      </c>
      <c r="R161" s="24">
        <v>11049.95</v>
      </c>
      <c r="S161" s="73">
        <v>11049.95</v>
      </c>
      <c r="T161" s="24">
        <v>10439.950000000001</v>
      </c>
      <c r="U161" s="24">
        <v>10439.950000000001</v>
      </c>
      <c r="V161" s="24">
        <v>10439.950000000001</v>
      </c>
      <c r="W161" s="24">
        <v>10439.950000000001</v>
      </c>
      <c r="X161" s="24">
        <v>10439.950000000001</v>
      </c>
      <c r="Y161" s="24">
        <v>10439.950000000001</v>
      </c>
      <c r="Z161" s="24">
        <v>10439.950000000001</v>
      </c>
      <c r="AA161" s="24">
        <v>9569.9500000000007</v>
      </c>
      <c r="AB161" s="24"/>
      <c r="AC161" s="28"/>
      <c r="AD161" s="23"/>
    </row>
    <row r="162" spans="1:30" x14ac:dyDescent="0.2">
      <c r="A162" s="83" t="s">
        <v>913</v>
      </c>
      <c r="B162" s="1" t="s">
        <v>106</v>
      </c>
      <c r="C162" s="1" t="s">
        <v>210</v>
      </c>
      <c r="D162" s="1" t="s">
        <v>375</v>
      </c>
      <c r="E162" s="80" t="s">
        <v>438</v>
      </c>
      <c r="F162" s="85" t="s">
        <v>353</v>
      </c>
      <c r="G162" s="80" t="s">
        <v>443</v>
      </c>
      <c r="H162" s="80" t="s">
        <v>718</v>
      </c>
      <c r="I162" s="24">
        <v>19565.955000000002</v>
      </c>
      <c r="J162" s="24">
        <f t="shared" si="2"/>
        <v>17609.359500000002</v>
      </c>
      <c r="K162" s="24">
        <v>21739.95</v>
      </c>
      <c r="L162" s="24">
        <v>21739.95</v>
      </c>
      <c r="M162" s="24">
        <v>21739.95</v>
      </c>
      <c r="N162" s="24">
        <v>21739.95</v>
      </c>
      <c r="O162" s="24">
        <v>21739.95</v>
      </c>
      <c r="P162" s="24">
        <v>21739.95</v>
      </c>
      <c r="Q162" s="24">
        <v>21739.95</v>
      </c>
      <c r="R162" s="24">
        <v>21739.95</v>
      </c>
      <c r="S162" s="73">
        <v>21739.95</v>
      </c>
      <c r="T162" s="24">
        <v>20869.95</v>
      </c>
      <c r="U162" s="24">
        <v>20869.95</v>
      </c>
      <c r="V162" s="24">
        <v>20869.95</v>
      </c>
      <c r="W162" s="24">
        <v>20869.95</v>
      </c>
      <c r="X162" s="24">
        <v>20869.95</v>
      </c>
      <c r="Y162" s="24">
        <v>20869.95</v>
      </c>
      <c r="Z162" s="24">
        <v>20869.95</v>
      </c>
      <c r="AA162" s="24">
        <v>20869.95</v>
      </c>
      <c r="AB162" s="24"/>
      <c r="AC162" s="28"/>
      <c r="AD162" s="23"/>
    </row>
    <row r="163" spans="1:30" x14ac:dyDescent="0.2">
      <c r="A163" s="83" t="s">
        <v>913</v>
      </c>
      <c r="B163" s="1" t="s">
        <v>372</v>
      </c>
      <c r="C163" s="1" t="s">
        <v>382</v>
      </c>
      <c r="D163" s="1" t="s">
        <v>634</v>
      </c>
      <c r="E163" s="80" t="s">
        <v>438</v>
      </c>
      <c r="F163" s="85" t="s">
        <v>387</v>
      </c>
      <c r="G163" s="80" t="s">
        <v>443</v>
      </c>
      <c r="H163" s="80" t="s">
        <v>718</v>
      </c>
      <c r="I163" s="24">
        <v>6263.9549999999999</v>
      </c>
      <c r="J163" s="24">
        <f t="shared" si="2"/>
        <v>5637.5595000000003</v>
      </c>
      <c r="K163" s="24">
        <v>6959.95</v>
      </c>
      <c r="L163" s="24">
        <v>6959.95</v>
      </c>
      <c r="M163" s="24">
        <v>6959.95</v>
      </c>
      <c r="N163" s="24">
        <v>6959.95</v>
      </c>
      <c r="O163" s="24">
        <v>6959.95</v>
      </c>
      <c r="P163" s="24">
        <v>6959.95</v>
      </c>
      <c r="Q163" s="24">
        <v>6959.95</v>
      </c>
      <c r="R163" s="24">
        <v>6959.95</v>
      </c>
      <c r="S163" s="73">
        <v>6959.95</v>
      </c>
      <c r="T163" s="24">
        <v>6959.95</v>
      </c>
      <c r="U163" s="24">
        <v>6959.95</v>
      </c>
      <c r="V163" s="24">
        <v>6959.95</v>
      </c>
      <c r="W163" s="24">
        <v>6959.95</v>
      </c>
      <c r="X163" s="24">
        <v>6959.95</v>
      </c>
      <c r="Y163" s="24">
        <v>6959.95</v>
      </c>
      <c r="Z163" s="24">
        <v>6959.95</v>
      </c>
      <c r="AA163" s="24">
        <v>6959.95</v>
      </c>
      <c r="AB163" s="24"/>
      <c r="AC163" s="28"/>
      <c r="AD163" s="23"/>
    </row>
    <row r="164" spans="1:30" x14ac:dyDescent="0.2">
      <c r="A164" s="83" t="s">
        <v>913</v>
      </c>
      <c r="B164" s="1" t="s">
        <v>526</v>
      </c>
      <c r="C164" s="1" t="s">
        <v>554</v>
      </c>
      <c r="D164" s="1" t="s">
        <v>503</v>
      </c>
      <c r="E164" s="80" t="s">
        <v>438</v>
      </c>
      <c r="F164" s="80" t="s">
        <v>527</v>
      </c>
      <c r="G164" s="80" t="s">
        <v>443</v>
      </c>
      <c r="H164" s="80" t="s">
        <v>718</v>
      </c>
      <c r="I164" s="24">
        <v>18782.955000000002</v>
      </c>
      <c r="J164" s="24">
        <f t="shared" si="2"/>
        <v>16904.659500000002</v>
      </c>
      <c r="K164" s="24">
        <v>20869.95</v>
      </c>
      <c r="L164" s="24">
        <v>20869.95</v>
      </c>
      <c r="M164" s="24">
        <v>20869.95</v>
      </c>
      <c r="N164" s="24">
        <v>20869.95</v>
      </c>
      <c r="O164" s="24">
        <v>20869.95</v>
      </c>
      <c r="P164" s="24">
        <v>20869.95</v>
      </c>
      <c r="Q164" s="24">
        <v>20869.95</v>
      </c>
      <c r="R164" s="24">
        <v>20869.95</v>
      </c>
      <c r="S164" s="73">
        <v>20869.95</v>
      </c>
      <c r="T164" s="24">
        <v>19999.95</v>
      </c>
      <c r="U164" s="24">
        <v>19999.95</v>
      </c>
      <c r="V164" s="24">
        <v>19999.95</v>
      </c>
      <c r="W164" s="24">
        <v>19999.95</v>
      </c>
      <c r="X164" s="24">
        <v>19999.95</v>
      </c>
      <c r="Y164" s="24">
        <v>19999.95</v>
      </c>
      <c r="Z164" s="24">
        <v>19999.95</v>
      </c>
      <c r="AA164" s="24">
        <v>19999.95</v>
      </c>
      <c r="AB164" s="24"/>
      <c r="AC164" s="28"/>
      <c r="AD164" s="23"/>
    </row>
    <row r="165" spans="1:30" x14ac:dyDescent="0.2">
      <c r="A165" s="83" t="s">
        <v>913</v>
      </c>
      <c r="B165" s="1" t="s">
        <v>679</v>
      </c>
      <c r="C165" s="1" t="s">
        <v>681</v>
      </c>
      <c r="D165" s="1" t="s">
        <v>680</v>
      </c>
      <c r="E165" s="80" t="s">
        <v>438</v>
      </c>
      <c r="F165" s="80" t="s">
        <v>682</v>
      </c>
      <c r="G165" s="80" t="s">
        <v>443</v>
      </c>
      <c r="H165" s="80" t="s">
        <v>718</v>
      </c>
      <c r="I165" s="24">
        <v>5246.9549999999999</v>
      </c>
      <c r="J165" s="24">
        <f t="shared" si="2"/>
        <v>4722.2595000000001</v>
      </c>
      <c r="K165" s="24">
        <v>5829.95</v>
      </c>
      <c r="L165" s="24">
        <v>5829.95</v>
      </c>
      <c r="M165" s="24">
        <v>5829.95</v>
      </c>
      <c r="N165" s="24">
        <v>5829.95</v>
      </c>
      <c r="O165" s="24">
        <v>5829.95</v>
      </c>
      <c r="P165" s="24">
        <v>5829.95</v>
      </c>
      <c r="Q165" s="24">
        <v>5829.95</v>
      </c>
      <c r="R165" s="24">
        <v>5829.95</v>
      </c>
      <c r="S165" s="73">
        <v>5829.95</v>
      </c>
      <c r="T165" s="24">
        <v>5649.95</v>
      </c>
      <c r="U165" s="24">
        <v>5649.95</v>
      </c>
      <c r="V165" s="24">
        <v>5649.95</v>
      </c>
      <c r="W165" s="24">
        <v>5649.95</v>
      </c>
      <c r="X165" s="24">
        <v>5649.95</v>
      </c>
      <c r="Y165" s="24">
        <v>5649.95</v>
      </c>
      <c r="Z165" s="24">
        <v>5649.95</v>
      </c>
      <c r="AA165" s="24" t="s">
        <v>678</v>
      </c>
      <c r="AB165" s="24"/>
      <c r="AC165" s="28"/>
      <c r="AD165" s="23"/>
    </row>
    <row r="166" spans="1:30" x14ac:dyDescent="0.2">
      <c r="A166" s="83" t="s">
        <v>913</v>
      </c>
      <c r="B166" s="1" t="s">
        <v>110</v>
      </c>
      <c r="C166" s="1" t="s">
        <v>260</v>
      </c>
      <c r="D166" s="1" t="s">
        <v>214</v>
      </c>
      <c r="E166" s="80" t="s">
        <v>438</v>
      </c>
      <c r="F166" s="80" t="s">
        <v>281</v>
      </c>
      <c r="G166" s="80" t="s">
        <v>443</v>
      </c>
      <c r="H166" s="80" t="s">
        <v>718</v>
      </c>
      <c r="I166" s="24">
        <v>17999.955000000002</v>
      </c>
      <c r="J166" s="24">
        <f t="shared" si="2"/>
        <v>16199.959500000003</v>
      </c>
      <c r="K166" s="24">
        <v>19999.95</v>
      </c>
      <c r="L166" s="24">
        <v>19999.95</v>
      </c>
      <c r="M166" s="24">
        <v>19999.95</v>
      </c>
      <c r="N166" s="24">
        <v>19999.95</v>
      </c>
      <c r="O166" s="24">
        <v>19999.95</v>
      </c>
      <c r="P166" s="24">
        <v>19999.95</v>
      </c>
      <c r="Q166" s="24">
        <v>19999.95</v>
      </c>
      <c r="R166" s="24">
        <v>19999.95</v>
      </c>
      <c r="S166" s="73">
        <v>19999.95</v>
      </c>
      <c r="T166" s="24">
        <v>19129.95</v>
      </c>
      <c r="U166" s="24">
        <v>19129.95</v>
      </c>
      <c r="V166" s="24">
        <v>19129.95</v>
      </c>
      <c r="W166" s="24">
        <v>19129.95</v>
      </c>
      <c r="X166" s="24">
        <v>19129.95</v>
      </c>
      <c r="Y166" s="24">
        <v>19129.95</v>
      </c>
      <c r="Z166" s="24">
        <v>19129.95</v>
      </c>
      <c r="AA166" s="24">
        <v>19129.95</v>
      </c>
      <c r="AB166" s="24"/>
      <c r="AC166" s="28"/>
      <c r="AD166" s="23"/>
    </row>
    <row r="167" spans="1:30" x14ac:dyDescent="0.2">
      <c r="A167" s="83" t="s">
        <v>913</v>
      </c>
      <c r="B167" s="1" t="s">
        <v>623</v>
      </c>
      <c r="C167" s="1" t="s">
        <v>626</v>
      </c>
      <c r="D167" s="1" t="s">
        <v>624</v>
      </c>
      <c r="E167" s="80" t="s">
        <v>438</v>
      </c>
      <c r="F167" s="85" t="s">
        <v>625</v>
      </c>
      <c r="G167" s="80" t="s">
        <v>443</v>
      </c>
      <c r="H167" s="80" t="s">
        <v>718</v>
      </c>
      <c r="I167" s="24">
        <v>8999.9550000000017</v>
      </c>
      <c r="J167" s="24">
        <f t="shared" si="2"/>
        <v>8099.9595000000018</v>
      </c>
      <c r="K167" s="24">
        <v>9999.9500000000007</v>
      </c>
      <c r="L167" s="24">
        <v>9999.9500000000007</v>
      </c>
      <c r="M167" s="24">
        <v>9999.9500000000007</v>
      </c>
      <c r="N167" s="24">
        <v>9999.9500000000007</v>
      </c>
      <c r="O167" s="24">
        <v>9999.9500000000007</v>
      </c>
      <c r="P167" s="24">
        <v>9999.9500000000007</v>
      </c>
      <c r="Q167" s="24">
        <v>9999.9500000000007</v>
      </c>
      <c r="R167" s="24">
        <v>9999.9500000000007</v>
      </c>
      <c r="S167" s="73">
        <v>9999.9500000000007</v>
      </c>
      <c r="T167" s="24">
        <v>9569.9500000000007</v>
      </c>
      <c r="U167" s="24">
        <v>9569.9500000000007</v>
      </c>
      <c r="V167" s="24">
        <v>9569.9500000000007</v>
      </c>
      <c r="W167" s="24">
        <v>9569.9500000000007</v>
      </c>
      <c r="X167" s="24">
        <v>9569.9500000000007</v>
      </c>
      <c r="Y167" s="24">
        <v>9569.9500000000007</v>
      </c>
      <c r="Z167" s="24">
        <v>9569.9500000000007</v>
      </c>
      <c r="AA167" s="24">
        <v>9569.9500000000007</v>
      </c>
      <c r="AB167" s="24"/>
      <c r="AC167" s="28"/>
      <c r="AD167" s="23"/>
    </row>
    <row r="168" spans="1:30" x14ac:dyDescent="0.2">
      <c r="A168" s="83" t="s">
        <v>913</v>
      </c>
      <c r="B168" s="1" t="s">
        <v>839</v>
      </c>
      <c r="C168" s="1" t="s">
        <v>842</v>
      </c>
      <c r="D168" s="1" t="s">
        <v>838</v>
      </c>
      <c r="E168" s="80" t="s">
        <v>438</v>
      </c>
      <c r="F168" s="85" t="s">
        <v>843</v>
      </c>
      <c r="G168" s="80" t="s">
        <v>443</v>
      </c>
      <c r="H168" s="80" t="s">
        <v>718</v>
      </c>
      <c r="I168" s="24">
        <v>25046.955000000002</v>
      </c>
      <c r="J168" s="24">
        <f t="shared" si="2"/>
        <v>22542.259500000004</v>
      </c>
      <c r="K168" s="24">
        <v>27829.95</v>
      </c>
      <c r="L168" s="24">
        <v>27829.95</v>
      </c>
      <c r="M168" s="24">
        <v>27829.95</v>
      </c>
      <c r="N168" s="24">
        <v>27829.95</v>
      </c>
      <c r="O168" s="24">
        <v>27829.95</v>
      </c>
      <c r="P168" s="24">
        <v>27829.95</v>
      </c>
      <c r="Q168" s="24">
        <v>27829.95</v>
      </c>
      <c r="R168" s="24">
        <v>27829.95</v>
      </c>
      <c r="S168" s="73"/>
      <c r="AB168" s="24"/>
      <c r="AC168" s="28"/>
      <c r="AD168" s="23"/>
    </row>
    <row r="169" spans="1:30" x14ac:dyDescent="0.2">
      <c r="A169" s="83" t="s">
        <v>913</v>
      </c>
      <c r="B169" s="1" t="s">
        <v>517</v>
      </c>
      <c r="C169" s="1" t="s">
        <v>555</v>
      </c>
      <c r="D169" s="1" t="s">
        <v>518</v>
      </c>
      <c r="E169" s="80" t="s">
        <v>438</v>
      </c>
      <c r="F169" s="85" t="s">
        <v>519</v>
      </c>
      <c r="G169" s="80" t="s">
        <v>443</v>
      </c>
      <c r="H169" s="80" t="s">
        <v>718</v>
      </c>
      <c r="I169" s="24">
        <v>4931.9549999999999</v>
      </c>
      <c r="J169" s="24">
        <f t="shared" si="2"/>
        <v>4438.7595000000001</v>
      </c>
      <c r="K169" s="24">
        <v>5479.95</v>
      </c>
      <c r="L169" s="24">
        <v>5479.95</v>
      </c>
      <c r="M169" s="24">
        <v>5479.95</v>
      </c>
      <c r="N169" s="24">
        <v>5479.95</v>
      </c>
      <c r="O169" s="24">
        <v>5479.95</v>
      </c>
      <c r="P169" s="24">
        <v>5479.95</v>
      </c>
      <c r="Q169" s="24">
        <v>5479.95</v>
      </c>
      <c r="R169" s="24">
        <v>5479.95</v>
      </c>
      <c r="S169" s="73">
        <v>5479.95</v>
      </c>
      <c r="T169" s="24">
        <v>5219.95</v>
      </c>
      <c r="U169" s="24">
        <v>5219.95</v>
      </c>
      <c r="V169" s="24">
        <v>5219.95</v>
      </c>
      <c r="W169" s="24">
        <v>5219.95</v>
      </c>
      <c r="X169" s="24">
        <v>5219.95</v>
      </c>
      <c r="Y169" s="24">
        <v>5219.95</v>
      </c>
      <c r="Z169" s="24">
        <v>5219.95</v>
      </c>
      <c r="AA169" s="24">
        <v>5219.95</v>
      </c>
      <c r="AB169" s="24"/>
      <c r="AC169" s="28"/>
      <c r="AD169" s="23"/>
    </row>
    <row r="170" spans="1:30" x14ac:dyDescent="0.2">
      <c r="A170" s="83" t="s">
        <v>913</v>
      </c>
      <c r="B170" s="1" t="s">
        <v>456</v>
      </c>
      <c r="C170" s="1" t="s">
        <v>449</v>
      </c>
      <c r="D170" s="1" t="s">
        <v>450</v>
      </c>
      <c r="E170" s="80" t="s">
        <v>438</v>
      </c>
      <c r="F170" s="85" t="s">
        <v>451</v>
      </c>
      <c r="G170" s="80" t="s">
        <v>443</v>
      </c>
      <c r="H170" s="80" t="s">
        <v>718</v>
      </c>
      <c r="I170" s="24">
        <v>4931.9549999999999</v>
      </c>
      <c r="J170" s="24">
        <f t="shared" si="2"/>
        <v>4438.7595000000001</v>
      </c>
      <c r="K170" s="24">
        <v>5479.95</v>
      </c>
      <c r="L170" s="24">
        <v>5479.95</v>
      </c>
      <c r="M170" s="24">
        <v>5479.95</v>
      </c>
      <c r="N170" s="24">
        <v>5479.95</v>
      </c>
      <c r="O170" s="24">
        <v>5479.95</v>
      </c>
      <c r="P170" s="24">
        <v>5479.95</v>
      </c>
      <c r="Q170" s="24">
        <v>5479.95</v>
      </c>
      <c r="R170" s="24">
        <v>5479.95</v>
      </c>
      <c r="S170" s="73">
        <v>5479.95</v>
      </c>
      <c r="T170" s="24">
        <v>5219.95</v>
      </c>
      <c r="U170" s="24">
        <v>5219.95</v>
      </c>
      <c r="V170" s="24">
        <v>5219.95</v>
      </c>
      <c r="W170" s="24">
        <v>5219.95</v>
      </c>
      <c r="X170" s="24">
        <v>5219.95</v>
      </c>
      <c r="Y170" s="24">
        <v>5219.95</v>
      </c>
      <c r="Z170" s="24">
        <v>5219.95</v>
      </c>
      <c r="AA170" s="24">
        <v>5219.95</v>
      </c>
      <c r="AB170" s="24"/>
      <c r="AC170" s="28"/>
      <c r="AD170" s="23"/>
    </row>
    <row r="171" spans="1:30" x14ac:dyDescent="0.2">
      <c r="A171" s="83" t="s">
        <v>913</v>
      </c>
      <c r="B171" s="1" t="s">
        <v>866</v>
      </c>
      <c r="C171" s="1" t="s">
        <v>872</v>
      </c>
      <c r="D171" s="1" t="s">
        <v>870</v>
      </c>
      <c r="E171" s="80" t="s">
        <v>438</v>
      </c>
      <c r="F171" s="1" t="s">
        <v>900</v>
      </c>
      <c r="G171" s="80" t="s">
        <v>443</v>
      </c>
      <c r="H171" s="80" t="s">
        <v>718</v>
      </c>
      <c r="I171" s="24">
        <v>10178.955000000002</v>
      </c>
      <c r="J171" s="24">
        <f t="shared" si="2"/>
        <v>9161.0595000000012</v>
      </c>
      <c r="K171" s="24">
        <v>11309.95</v>
      </c>
      <c r="L171" s="24">
        <v>11309.95</v>
      </c>
      <c r="M171" s="24">
        <v>11309.95</v>
      </c>
      <c r="N171" s="24">
        <v>11309.95</v>
      </c>
      <c r="O171" s="24">
        <v>11309.95</v>
      </c>
      <c r="S171" s="73"/>
      <c r="AB171" s="24"/>
      <c r="AC171" s="28"/>
      <c r="AD171" s="23"/>
    </row>
    <row r="172" spans="1:30" x14ac:dyDescent="0.2">
      <c r="A172" s="83" t="s">
        <v>913</v>
      </c>
      <c r="B172" s="1" t="s">
        <v>111</v>
      </c>
      <c r="C172" s="1" t="s">
        <v>261</v>
      </c>
      <c r="D172" s="1" t="s">
        <v>379</v>
      </c>
      <c r="E172" s="80" t="s">
        <v>438</v>
      </c>
      <c r="F172" s="85" t="s">
        <v>348</v>
      </c>
      <c r="G172" s="80" t="s">
        <v>443</v>
      </c>
      <c r="H172" s="80" t="s">
        <v>718</v>
      </c>
      <c r="I172" s="24">
        <v>15659.955000000002</v>
      </c>
      <c r="J172" s="24">
        <f t="shared" si="2"/>
        <v>14093.959500000003</v>
      </c>
      <c r="K172" s="24">
        <v>17399.95</v>
      </c>
      <c r="L172" s="24">
        <v>17399.95</v>
      </c>
      <c r="M172" s="24">
        <v>17399.95</v>
      </c>
      <c r="N172" s="24">
        <v>17399.95</v>
      </c>
      <c r="O172" s="24">
        <v>17399.95</v>
      </c>
      <c r="P172" s="24">
        <v>17399.95</v>
      </c>
      <c r="Q172" s="24">
        <v>17399.95</v>
      </c>
      <c r="R172" s="24">
        <v>17399.95</v>
      </c>
      <c r="S172" s="73">
        <v>17399.95</v>
      </c>
      <c r="T172" s="24">
        <v>16519.95</v>
      </c>
      <c r="U172" s="24">
        <v>16519.95</v>
      </c>
      <c r="V172" s="24">
        <v>16519.95</v>
      </c>
      <c r="W172" s="24">
        <v>16519.95</v>
      </c>
      <c r="X172" s="24">
        <v>16519.95</v>
      </c>
      <c r="Y172" s="24">
        <v>16519.95</v>
      </c>
      <c r="Z172" s="24">
        <v>16519.95</v>
      </c>
      <c r="AA172" s="24">
        <v>16089.95</v>
      </c>
      <c r="AB172" s="24"/>
      <c r="AC172" s="28"/>
      <c r="AD172" s="23"/>
    </row>
    <row r="173" spans="1:30" x14ac:dyDescent="0.2">
      <c r="A173" s="83" t="s">
        <v>913</v>
      </c>
      <c r="B173" s="1" t="s">
        <v>508</v>
      </c>
      <c r="C173" s="1" t="s">
        <v>556</v>
      </c>
      <c r="D173" s="1" t="s">
        <v>509</v>
      </c>
      <c r="E173" s="80" t="s">
        <v>438</v>
      </c>
      <c r="F173" s="80" t="s">
        <v>571</v>
      </c>
      <c r="G173" s="80" t="s">
        <v>443</v>
      </c>
      <c r="H173" s="80" t="s">
        <v>718</v>
      </c>
      <c r="I173" s="24">
        <v>254348.95500000002</v>
      </c>
      <c r="J173" s="24">
        <f t="shared" si="2"/>
        <v>228914.05950000003</v>
      </c>
      <c r="K173" s="24">
        <v>282609.95</v>
      </c>
      <c r="L173" s="24">
        <v>282609.95</v>
      </c>
      <c r="M173" s="24">
        <v>282609.95</v>
      </c>
      <c r="N173" s="24">
        <v>282609.95</v>
      </c>
      <c r="O173" s="24">
        <v>282609.95</v>
      </c>
      <c r="P173" s="24">
        <v>282609.95</v>
      </c>
      <c r="Q173" s="24">
        <v>282609.95</v>
      </c>
      <c r="R173" s="24">
        <v>282609.95</v>
      </c>
      <c r="S173" s="73">
        <v>282609.95</v>
      </c>
      <c r="T173" s="24">
        <v>269569.95</v>
      </c>
      <c r="U173" s="24">
        <v>269569.95</v>
      </c>
      <c r="V173" s="24">
        <v>269569.95</v>
      </c>
      <c r="W173" s="24">
        <v>269569.95</v>
      </c>
      <c r="X173" s="24">
        <v>269569.95</v>
      </c>
      <c r="Y173" s="24">
        <v>269569.95</v>
      </c>
      <c r="Z173" s="24">
        <v>269569.95</v>
      </c>
      <c r="AA173" s="24">
        <v>260869.95</v>
      </c>
      <c r="AB173" s="24"/>
      <c r="AC173" s="28"/>
      <c r="AD173" s="23"/>
    </row>
    <row r="174" spans="1:30" x14ac:dyDescent="0.2">
      <c r="A174" s="83" t="s">
        <v>913</v>
      </c>
      <c r="B174" s="1" t="s">
        <v>399</v>
      </c>
      <c r="C174" s="1" t="s">
        <v>404</v>
      </c>
      <c r="D174" s="1" t="s">
        <v>400</v>
      </c>
      <c r="E174" s="80" t="s">
        <v>438</v>
      </c>
      <c r="F174" s="85" t="s">
        <v>405</v>
      </c>
      <c r="G174" s="80" t="s">
        <v>443</v>
      </c>
      <c r="H174" s="80" t="s">
        <v>718</v>
      </c>
      <c r="I174" s="24">
        <v>35216.955000000002</v>
      </c>
      <c r="J174" s="24">
        <f t="shared" si="2"/>
        <v>31695.259500000004</v>
      </c>
      <c r="K174" s="24">
        <v>39129.949999999997</v>
      </c>
      <c r="L174" s="24">
        <v>39129.949999999997</v>
      </c>
      <c r="M174" s="24">
        <v>39129.949999999997</v>
      </c>
      <c r="N174" s="24">
        <v>39129.949999999997</v>
      </c>
      <c r="O174" s="24">
        <v>39129.949999999997</v>
      </c>
      <c r="P174" s="24">
        <v>39129.949999999997</v>
      </c>
      <c r="Q174" s="24">
        <v>39129.949999999997</v>
      </c>
      <c r="R174" s="24">
        <v>39129.949999999997</v>
      </c>
      <c r="S174" s="73">
        <v>39129.949999999997</v>
      </c>
      <c r="T174" s="24">
        <v>37399.949999999997</v>
      </c>
      <c r="U174" s="24">
        <v>37399.949999999997</v>
      </c>
      <c r="V174" s="24">
        <v>37399.949999999997</v>
      </c>
      <c r="W174" s="24">
        <v>37399.949999999997</v>
      </c>
      <c r="X174" s="24">
        <v>37399.949999999997</v>
      </c>
      <c r="Y174" s="24">
        <v>37399.949999999997</v>
      </c>
      <c r="Z174" s="24">
        <v>37399.949999999997</v>
      </c>
      <c r="AA174" s="24">
        <v>36499.949999999997</v>
      </c>
      <c r="AB174" s="24"/>
      <c r="AC174" s="28"/>
      <c r="AD174" s="23"/>
    </row>
    <row r="175" spans="1:30" x14ac:dyDescent="0.2">
      <c r="A175" s="83" t="s">
        <v>913</v>
      </c>
      <c r="B175" s="1" t="s">
        <v>876</v>
      </c>
      <c r="C175" s="1" t="s">
        <v>879</v>
      </c>
      <c r="D175" s="1" t="s">
        <v>880</v>
      </c>
      <c r="E175" s="80" t="s">
        <v>438</v>
      </c>
      <c r="F175" s="85" t="s">
        <v>878</v>
      </c>
      <c r="G175" s="80" t="s">
        <v>443</v>
      </c>
      <c r="H175" s="80" t="s">
        <v>718</v>
      </c>
      <c r="I175" s="24">
        <v>8612.9550000000017</v>
      </c>
      <c r="J175" s="24">
        <f t="shared" si="2"/>
        <v>7751.6595000000016</v>
      </c>
      <c r="K175" s="24">
        <v>9569.9500000000007</v>
      </c>
      <c r="L175" s="73">
        <v>9569.9500000000007</v>
      </c>
      <c r="AB175" s="24"/>
      <c r="AC175" s="28"/>
      <c r="AD175" s="23"/>
    </row>
    <row r="176" spans="1:30" x14ac:dyDescent="0.2">
      <c r="A176" s="83" t="s">
        <v>913</v>
      </c>
      <c r="B176" s="1" t="s">
        <v>113</v>
      </c>
      <c r="C176" s="1" t="s">
        <v>262</v>
      </c>
      <c r="D176" s="1" t="s">
        <v>378</v>
      </c>
      <c r="E176" s="80" t="s">
        <v>438</v>
      </c>
      <c r="F176" s="85" t="s">
        <v>349</v>
      </c>
      <c r="G176" s="80" t="s">
        <v>443</v>
      </c>
      <c r="H176" s="80" t="s">
        <v>718</v>
      </c>
      <c r="I176" s="24">
        <v>10723.455000000002</v>
      </c>
      <c r="J176" s="24">
        <f t="shared" si="2"/>
        <v>9651.1095000000023</v>
      </c>
      <c r="K176" s="24">
        <v>11914.95</v>
      </c>
      <c r="L176" s="24">
        <v>11914.95</v>
      </c>
      <c r="M176" s="24">
        <v>11914.95</v>
      </c>
      <c r="N176" s="24">
        <v>11914.95</v>
      </c>
      <c r="O176" s="24">
        <v>11914.95</v>
      </c>
      <c r="P176" s="24">
        <v>11914.95</v>
      </c>
      <c r="Q176" s="24">
        <v>11914.95</v>
      </c>
      <c r="R176" s="24">
        <v>11914.95</v>
      </c>
      <c r="S176" s="73">
        <v>11914.95</v>
      </c>
      <c r="T176" s="24">
        <v>11299.95</v>
      </c>
      <c r="U176" s="24">
        <v>11299.95</v>
      </c>
      <c r="V176" s="24">
        <v>11299.95</v>
      </c>
      <c r="W176" s="24">
        <v>11299.95</v>
      </c>
      <c r="X176" s="24">
        <v>11299.95</v>
      </c>
      <c r="Y176" s="24">
        <v>11299.95</v>
      </c>
      <c r="Z176" s="24">
        <v>11299.95</v>
      </c>
      <c r="AA176" s="24">
        <v>11299.95</v>
      </c>
      <c r="AB176" s="24"/>
      <c r="AC176" s="28"/>
      <c r="AD176" s="23"/>
    </row>
    <row r="177" spans="1:31" x14ac:dyDescent="0.2">
      <c r="A177" s="83" t="s">
        <v>913</v>
      </c>
      <c r="B177" s="1" t="s">
        <v>424</v>
      </c>
      <c r="C177" s="1" t="s">
        <v>429</v>
      </c>
      <c r="D177" s="1" t="s">
        <v>425</v>
      </c>
      <c r="E177" s="80" t="s">
        <v>438</v>
      </c>
      <c r="F177" s="80" t="s">
        <v>427</v>
      </c>
      <c r="G177" s="80" t="s">
        <v>443</v>
      </c>
      <c r="H177" s="80" t="s">
        <v>718</v>
      </c>
      <c r="I177" s="24">
        <v>12131.955000000002</v>
      </c>
      <c r="J177" s="24">
        <f t="shared" si="2"/>
        <v>10918.759500000002</v>
      </c>
      <c r="K177" s="24">
        <v>13479.95</v>
      </c>
      <c r="L177" s="24">
        <v>13479.95</v>
      </c>
      <c r="M177" s="24">
        <v>13479.95</v>
      </c>
      <c r="N177" s="24">
        <v>13479.95</v>
      </c>
      <c r="O177" s="24">
        <v>13479.95</v>
      </c>
      <c r="P177" s="24">
        <v>13479.95</v>
      </c>
      <c r="Q177" s="24">
        <v>13479.95</v>
      </c>
      <c r="R177" s="24">
        <v>13479.95</v>
      </c>
      <c r="S177" s="73">
        <v>13479.95</v>
      </c>
      <c r="T177" s="24">
        <v>12609.95</v>
      </c>
      <c r="U177" s="24">
        <v>12609.95</v>
      </c>
      <c r="V177" s="24">
        <v>12609.95</v>
      </c>
      <c r="W177" s="24">
        <v>12609.95</v>
      </c>
      <c r="X177" s="24">
        <v>12609.95</v>
      </c>
      <c r="Y177" s="24">
        <v>12609.95</v>
      </c>
      <c r="Z177" s="24">
        <v>12609.95</v>
      </c>
      <c r="AA177" s="24">
        <v>12179.95</v>
      </c>
      <c r="AB177" s="24"/>
      <c r="AC177" s="28"/>
      <c r="AD177" s="23"/>
    </row>
    <row r="178" spans="1:31" x14ac:dyDescent="0.2">
      <c r="A178" s="83" t="s">
        <v>913</v>
      </c>
      <c r="B178" s="1" t="s">
        <v>587</v>
      </c>
      <c r="C178" s="1" t="s">
        <v>596</v>
      </c>
      <c r="D178" s="1" t="s">
        <v>593</v>
      </c>
      <c r="E178" s="80" t="s">
        <v>438</v>
      </c>
      <c r="F178" s="85" t="s">
        <v>597</v>
      </c>
      <c r="G178" s="80" t="s">
        <v>443</v>
      </c>
      <c r="H178" s="80" t="s">
        <v>718</v>
      </c>
      <c r="I178" s="24">
        <v>59480.955000000002</v>
      </c>
      <c r="J178" s="24">
        <f t="shared" si="2"/>
        <v>53532.859500000006</v>
      </c>
      <c r="K178" s="24">
        <v>66089.95</v>
      </c>
      <c r="L178" s="24">
        <v>66089.95</v>
      </c>
      <c r="M178" s="24">
        <v>66089.95</v>
      </c>
      <c r="N178" s="24">
        <v>66089.95</v>
      </c>
      <c r="O178" s="24">
        <v>66089.95</v>
      </c>
      <c r="P178" s="24">
        <v>66089.95</v>
      </c>
      <c r="Q178" s="24">
        <v>66089.95</v>
      </c>
      <c r="R178" s="24">
        <v>66089.95</v>
      </c>
      <c r="S178" s="73">
        <v>66089.95</v>
      </c>
      <c r="T178" s="24">
        <v>62609.95</v>
      </c>
      <c r="U178" s="24">
        <v>62609.95</v>
      </c>
      <c r="V178" s="24">
        <v>62609.95</v>
      </c>
      <c r="W178" s="24">
        <v>62609.95</v>
      </c>
      <c r="X178" s="24">
        <v>62609.95</v>
      </c>
      <c r="Y178" s="24">
        <v>62609.95</v>
      </c>
      <c r="Z178" s="24">
        <v>62609.95</v>
      </c>
      <c r="AA178" s="24">
        <v>60869.95</v>
      </c>
      <c r="AB178" s="24"/>
      <c r="AC178" s="28"/>
      <c r="AD178" s="23"/>
    </row>
    <row r="179" spans="1:31" s="67" customFormat="1" x14ac:dyDescent="0.2">
      <c r="A179" s="83" t="s">
        <v>913</v>
      </c>
      <c r="B179" s="1" t="s">
        <v>466</v>
      </c>
      <c r="C179" s="1" t="s">
        <v>468</v>
      </c>
      <c r="D179" s="1" t="s">
        <v>467</v>
      </c>
      <c r="E179" s="80" t="s">
        <v>438</v>
      </c>
      <c r="F179" s="85" t="s">
        <v>469</v>
      </c>
      <c r="G179" s="80" t="s">
        <v>443</v>
      </c>
      <c r="H179" s="80" t="s">
        <v>718</v>
      </c>
      <c r="I179" s="24">
        <v>5093.9549999999999</v>
      </c>
      <c r="J179" s="24">
        <f t="shared" si="2"/>
        <v>4584.5595000000003</v>
      </c>
      <c r="K179" s="24">
        <v>5659.95</v>
      </c>
      <c r="L179" s="24">
        <v>5659.95</v>
      </c>
      <c r="M179" s="24">
        <v>5659.95</v>
      </c>
      <c r="N179" s="24">
        <v>5659.95</v>
      </c>
      <c r="O179" s="24">
        <v>5659.95</v>
      </c>
      <c r="P179" s="24">
        <v>5659.95</v>
      </c>
      <c r="Q179" s="24">
        <v>5659.95</v>
      </c>
      <c r="R179" s="24">
        <v>5659.95</v>
      </c>
      <c r="S179" s="73">
        <v>5659.95</v>
      </c>
      <c r="T179" s="24">
        <v>5219.95</v>
      </c>
      <c r="U179" s="24">
        <v>5219.95</v>
      </c>
      <c r="V179" s="24">
        <v>5219.95</v>
      </c>
      <c r="W179" s="24">
        <v>5219.95</v>
      </c>
      <c r="X179" s="24">
        <v>5219.95</v>
      </c>
      <c r="Y179" s="24">
        <v>5219.95</v>
      </c>
      <c r="Z179" s="24">
        <v>5219.95</v>
      </c>
      <c r="AA179" s="24">
        <v>4789.95</v>
      </c>
      <c r="AB179" s="24"/>
      <c r="AC179" s="28"/>
      <c r="AD179" s="23"/>
      <c r="AE179" s="1"/>
    </row>
    <row r="180" spans="1:31" x14ac:dyDescent="0.2">
      <c r="A180" s="83" t="s">
        <v>913</v>
      </c>
      <c r="B180" s="1" t="s">
        <v>683</v>
      </c>
      <c r="C180" s="1" t="s">
        <v>686</v>
      </c>
      <c r="D180" s="1" t="s">
        <v>684</v>
      </c>
      <c r="E180" s="80" t="s">
        <v>438</v>
      </c>
      <c r="F180" s="85" t="s">
        <v>685</v>
      </c>
      <c r="G180" s="80" t="s">
        <v>443</v>
      </c>
      <c r="H180" s="80" t="s">
        <v>718</v>
      </c>
      <c r="I180" s="24">
        <v>5093.9549999999999</v>
      </c>
      <c r="J180" s="24">
        <f t="shared" si="2"/>
        <v>4584.5595000000003</v>
      </c>
      <c r="K180" s="24">
        <v>5659.95</v>
      </c>
      <c r="L180" s="24">
        <v>5659.95</v>
      </c>
      <c r="M180" s="24">
        <v>5659.95</v>
      </c>
      <c r="N180" s="24">
        <v>5659.95</v>
      </c>
      <c r="O180" s="24">
        <v>5659.95</v>
      </c>
      <c r="P180" s="24">
        <v>5659.95</v>
      </c>
      <c r="Q180" s="24">
        <v>5659.95</v>
      </c>
      <c r="R180" s="24">
        <v>5659.95</v>
      </c>
      <c r="S180" s="73">
        <v>5659.95</v>
      </c>
      <c r="T180" s="24">
        <v>5219.95</v>
      </c>
      <c r="U180" s="24">
        <v>5219.95</v>
      </c>
      <c r="V180" s="24">
        <v>5219.95</v>
      </c>
      <c r="W180" s="24">
        <v>5219.95</v>
      </c>
      <c r="X180" s="24">
        <v>5219.95</v>
      </c>
      <c r="Y180" s="24">
        <v>5219.95</v>
      </c>
      <c r="Z180" s="24">
        <v>5219.95</v>
      </c>
      <c r="AA180" s="24">
        <v>4789.95</v>
      </c>
      <c r="AB180" s="24"/>
      <c r="AC180" s="28"/>
      <c r="AD180" s="23"/>
    </row>
    <row r="181" spans="1:31" x14ac:dyDescent="0.2">
      <c r="A181" s="83" t="s">
        <v>913</v>
      </c>
      <c r="B181" s="1" t="s">
        <v>112</v>
      </c>
      <c r="C181" s="1" t="s">
        <v>215</v>
      </c>
      <c r="D181" s="1" t="s">
        <v>216</v>
      </c>
      <c r="E181" s="80" t="s">
        <v>438</v>
      </c>
      <c r="F181" s="80" t="s">
        <v>292</v>
      </c>
      <c r="G181" s="80" t="s">
        <v>443</v>
      </c>
      <c r="H181" s="80" t="s">
        <v>718</v>
      </c>
      <c r="I181" s="24">
        <v>5876.9549999999999</v>
      </c>
      <c r="J181" s="24">
        <f t="shared" si="2"/>
        <v>5289.2595000000001</v>
      </c>
      <c r="K181" s="24">
        <v>6529.95</v>
      </c>
      <c r="L181" s="24">
        <v>6529.95</v>
      </c>
      <c r="M181" s="24">
        <v>6529.95</v>
      </c>
      <c r="N181" s="24">
        <v>6529.95</v>
      </c>
      <c r="O181" s="24">
        <v>6529.95</v>
      </c>
      <c r="P181" s="24">
        <v>6529.95</v>
      </c>
      <c r="Q181" s="24">
        <v>6529.95</v>
      </c>
      <c r="R181" s="24">
        <v>6529.95</v>
      </c>
      <c r="S181" s="73">
        <v>6529.95</v>
      </c>
      <c r="T181" s="24">
        <v>6089.95</v>
      </c>
      <c r="U181" s="24">
        <v>6089.95</v>
      </c>
      <c r="V181" s="24">
        <v>6089.95</v>
      </c>
      <c r="W181" s="24">
        <v>6089.95</v>
      </c>
      <c r="X181" s="24">
        <v>6089.95</v>
      </c>
      <c r="Y181" s="24">
        <v>6089.95</v>
      </c>
      <c r="Z181" s="24">
        <v>6089.95</v>
      </c>
      <c r="AA181" s="24">
        <v>6089.95</v>
      </c>
      <c r="AB181" s="24"/>
      <c r="AC181" s="28"/>
      <c r="AD181" s="23"/>
    </row>
    <row r="182" spans="1:31" x14ac:dyDescent="0.2">
      <c r="A182" s="83" t="s">
        <v>913</v>
      </c>
      <c r="B182" s="1" t="s">
        <v>114</v>
      </c>
      <c r="C182" s="1" t="s">
        <v>217</v>
      </c>
      <c r="D182" s="1" t="s">
        <v>218</v>
      </c>
      <c r="E182" s="80" t="s">
        <v>438</v>
      </c>
      <c r="F182" s="80" t="s">
        <v>263</v>
      </c>
      <c r="G182" s="80" t="s">
        <v>443</v>
      </c>
      <c r="H182" s="80" t="s">
        <v>718</v>
      </c>
      <c r="I182" s="24">
        <v>156527.95500000002</v>
      </c>
      <c r="J182" s="24">
        <f t="shared" si="2"/>
        <v>140875.15950000001</v>
      </c>
      <c r="K182" s="24">
        <v>173919.95</v>
      </c>
      <c r="L182" s="24">
        <v>173919.95</v>
      </c>
      <c r="M182" s="24">
        <v>173919.95</v>
      </c>
      <c r="N182" s="24">
        <v>173919.95</v>
      </c>
      <c r="O182" s="24">
        <v>173919.95</v>
      </c>
      <c r="P182" s="24">
        <v>173919.95</v>
      </c>
      <c r="Q182" s="24">
        <v>173919.95</v>
      </c>
      <c r="R182" s="24">
        <v>173919.95</v>
      </c>
      <c r="S182" s="73">
        <v>173919.95</v>
      </c>
      <c r="T182" s="24">
        <v>164999.95000000001</v>
      </c>
      <c r="U182" s="24">
        <v>164999.95000000001</v>
      </c>
      <c r="V182" s="24">
        <v>164999.95000000001</v>
      </c>
      <c r="W182" s="24">
        <v>164999.95000000001</v>
      </c>
      <c r="X182" s="24">
        <v>164999.95000000001</v>
      </c>
      <c r="Y182" s="24">
        <v>164999.95000000001</v>
      </c>
      <c r="Z182" s="24">
        <v>164999.95000000001</v>
      </c>
      <c r="AA182" s="24">
        <v>164999.95000000001</v>
      </c>
      <c r="AB182" s="24"/>
      <c r="AC182" s="28"/>
      <c r="AD182" s="23"/>
    </row>
    <row r="183" spans="1:31" x14ac:dyDescent="0.2">
      <c r="A183" s="83" t="s">
        <v>913</v>
      </c>
      <c r="B183" s="1" t="s">
        <v>607</v>
      </c>
      <c r="C183" s="1" t="s">
        <v>610</v>
      </c>
      <c r="D183" s="1" t="s">
        <v>609</v>
      </c>
      <c r="E183" s="80" t="s">
        <v>438</v>
      </c>
      <c r="F183" s="85" t="s">
        <v>617</v>
      </c>
      <c r="G183" s="80" t="s">
        <v>443</v>
      </c>
      <c r="H183" s="80" t="s">
        <v>718</v>
      </c>
      <c r="I183" s="24">
        <v>273914.95500000002</v>
      </c>
      <c r="J183" s="24">
        <f t="shared" si="2"/>
        <v>246523.45950000003</v>
      </c>
      <c r="K183" s="24">
        <v>304349.95</v>
      </c>
      <c r="L183" s="24">
        <v>304349.95</v>
      </c>
      <c r="M183" s="24">
        <v>304349.95</v>
      </c>
      <c r="N183" s="24">
        <v>304349.95</v>
      </c>
      <c r="O183" s="24">
        <v>304349.95</v>
      </c>
      <c r="P183" s="24">
        <v>304349.95</v>
      </c>
      <c r="Q183" s="24">
        <v>304349.95</v>
      </c>
      <c r="R183" s="24">
        <v>304349.95</v>
      </c>
      <c r="S183" s="73">
        <v>304349.95</v>
      </c>
      <c r="T183" s="24">
        <v>299999.95</v>
      </c>
      <c r="U183" s="24">
        <v>299999.95</v>
      </c>
      <c r="V183" s="24">
        <v>299999.95</v>
      </c>
      <c r="W183" s="24">
        <v>299999.95</v>
      </c>
      <c r="X183" s="24">
        <v>299999.95</v>
      </c>
      <c r="Y183" s="24">
        <v>299999.95</v>
      </c>
      <c r="Z183" s="24">
        <v>299999.95</v>
      </c>
      <c r="AA183" s="24">
        <v>295654.95</v>
      </c>
      <c r="AB183" s="24"/>
      <c r="AC183" s="28"/>
      <c r="AD183" s="23"/>
    </row>
    <row r="184" spans="1:31" x14ac:dyDescent="0.2">
      <c r="A184" s="83" t="s">
        <v>913</v>
      </c>
      <c r="B184" s="1" t="s">
        <v>627</v>
      </c>
      <c r="C184" s="1" t="s">
        <v>628</v>
      </c>
      <c r="D184" s="1" t="s">
        <v>629</v>
      </c>
      <c r="E184" s="80" t="s">
        <v>438</v>
      </c>
      <c r="F184" s="85" t="s">
        <v>630</v>
      </c>
      <c r="G184" s="80" t="s">
        <v>443</v>
      </c>
      <c r="H184" s="80" t="s">
        <v>718</v>
      </c>
      <c r="I184" s="24">
        <v>49310.955000000002</v>
      </c>
      <c r="J184" s="24">
        <f t="shared" si="2"/>
        <v>44379.859500000006</v>
      </c>
      <c r="K184" s="24">
        <v>54789.95</v>
      </c>
      <c r="L184" s="24">
        <v>54789.95</v>
      </c>
      <c r="M184" s="24">
        <v>54789.95</v>
      </c>
      <c r="N184" s="24">
        <v>54789.95</v>
      </c>
      <c r="O184" s="24">
        <v>54789.95</v>
      </c>
      <c r="P184" s="24">
        <v>54789.95</v>
      </c>
      <c r="Q184" s="24">
        <v>54789.95</v>
      </c>
      <c r="R184" s="24">
        <v>54789.95</v>
      </c>
      <c r="S184" s="73">
        <v>54789.95</v>
      </c>
      <c r="T184" s="24">
        <v>52179.95</v>
      </c>
      <c r="U184" s="24">
        <v>52179.95</v>
      </c>
      <c r="V184" s="24">
        <v>52179.95</v>
      </c>
      <c r="W184" s="24">
        <v>52179.95</v>
      </c>
      <c r="X184" s="24">
        <v>52179.95</v>
      </c>
      <c r="Y184" s="24">
        <v>52179.95</v>
      </c>
      <c r="Z184" s="24">
        <v>52179.95</v>
      </c>
      <c r="AA184" s="24">
        <v>52179.95</v>
      </c>
      <c r="AB184" s="24"/>
      <c r="AC184" s="28"/>
      <c r="AD184" s="23"/>
    </row>
    <row r="185" spans="1:31" x14ac:dyDescent="0.2">
      <c r="A185" s="83" t="s">
        <v>913</v>
      </c>
      <c r="B185" s="1" t="s">
        <v>116</v>
      </c>
      <c r="C185" s="1" t="s">
        <v>221</v>
      </c>
      <c r="D185" s="1" t="s">
        <v>222</v>
      </c>
      <c r="E185" s="80" t="s">
        <v>438</v>
      </c>
      <c r="F185" s="85" t="s">
        <v>351</v>
      </c>
      <c r="G185" s="80" t="s">
        <v>443</v>
      </c>
      <c r="H185" s="80" t="s">
        <v>718</v>
      </c>
      <c r="I185" s="24">
        <v>14867.955000000002</v>
      </c>
      <c r="J185" s="24">
        <f t="shared" si="2"/>
        <v>13381.159500000002</v>
      </c>
      <c r="K185" s="24">
        <v>16519.95</v>
      </c>
      <c r="L185" s="24">
        <v>16519.95</v>
      </c>
      <c r="M185" s="24">
        <v>16519.95</v>
      </c>
      <c r="N185" s="24">
        <v>16519.95</v>
      </c>
      <c r="O185" s="24">
        <v>16519.95</v>
      </c>
      <c r="P185" s="24">
        <v>16519.95</v>
      </c>
      <c r="Q185" s="24">
        <v>16519.95</v>
      </c>
      <c r="R185" s="24">
        <v>16519.95</v>
      </c>
      <c r="S185" s="73">
        <v>16519.95</v>
      </c>
      <c r="T185" s="24">
        <v>15649.95</v>
      </c>
      <c r="U185" s="24">
        <v>15649.95</v>
      </c>
      <c r="V185" s="24">
        <v>15649.95</v>
      </c>
      <c r="W185" s="24">
        <v>15649.95</v>
      </c>
      <c r="X185" s="24">
        <v>15649.95</v>
      </c>
      <c r="Y185" s="24">
        <v>15649.95</v>
      </c>
      <c r="Z185" s="24">
        <v>15649.95</v>
      </c>
      <c r="AA185" s="24">
        <v>15219.95</v>
      </c>
      <c r="AB185" s="24"/>
      <c r="AC185" s="28"/>
      <c r="AD185" s="23"/>
    </row>
    <row r="186" spans="1:31" x14ac:dyDescent="0.2">
      <c r="A186" s="83" t="s">
        <v>913</v>
      </c>
      <c r="B186" s="1" t="s">
        <v>827</v>
      </c>
      <c r="C186" s="1" t="s">
        <v>830</v>
      </c>
      <c r="D186" s="1" t="s">
        <v>828</v>
      </c>
      <c r="E186" s="80" t="s">
        <v>438</v>
      </c>
      <c r="F186" s="80" t="s">
        <v>829</v>
      </c>
      <c r="G186" s="80" t="s">
        <v>443</v>
      </c>
      <c r="H186" s="80" t="s">
        <v>718</v>
      </c>
      <c r="I186" s="24">
        <v>93914.955000000002</v>
      </c>
      <c r="J186" s="24">
        <f t="shared" si="2"/>
        <v>84523.459499999997</v>
      </c>
      <c r="K186" s="24">
        <v>104349.95</v>
      </c>
      <c r="L186" s="24">
        <v>104349.95</v>
      </c>
      <c r="M186" s="24">
        <v>104349.95</v>
      </c>
      <c r="N186" s="24">
        <v>104349.95</v>
      </c>
      <c r="O186" s="24">
        <v>104349.95</v>
      </c>
      <c r="P186" s="24">
        <v>104349.95</v>
      </c>
      <c r="Q186" s="24">
        <v>104349.95</v>
      </c>
      <c r="R186" s="24">
        <v>104349.95</v>
      </c>
      <c r="S186" s="73">
        <v>104349.95</v>
      </c>
      <c r="T186" s="24">
        <v>99999.95</v>
      </c>
      <c r="U186" s="24">
        <v>99999.95</v>
      </c>
      <c r="V186" s="72">
        <v>99999.95</v>
      </c>
      <c r="AB186" s="24"/>
      <c r="AC186" s="28"/>
    </row>
    <row r="187" spans="1:31" x14ac:dyDescent="0.2">
      <c r="A187" s="83" t="s">
        <v>913</v>
      </c>
      <c r="B187" s="1" t="s">
        <v>705</v>
      </c>
      <c r="C187" s="1" t="s">
        <v>708</v>
      </c>
      <c r="D187" s="1" t="s">
        <v>707</v>
      </c>
      <c r="E187" s="80" t="s">
        <v>438</v>
      </c>
      <c r="F187" s="85" t="s">
        <v>709</v>
      </c>
      <c r="G187" s="80" t="s">
        <v>443</v>
      </c>
      <c r="H187" s="80" t="s">
        <v>718</v>
      </c>
      <c r="I187" s="24">
        <v>22697.955000000002</v>
      </c>
      <c r="J187" s="24">
        <f t="shared" si="2"/>
        <v>20428.159500000002</v>
      </c>
      <c r="K187" s="24">
        <v>25219.95</v>
      </c>
      <c r="L187" s="24">
        <v>25219.95</v>
      </c>
      <c r="M187" s="24">
        <v>25219.95</v>
      </c>
      <c r="N187" s="24">
        <v>25219.95</v>
      </c>
      <c r="O187" s="24">
        <v>25219.95</v>
      </c>
      <c r="P187" s="24">
        <v>25219.95</v>
      </c>
      <c r="Q187" s="24">
        <v>25219.95</v>
      </c>
      <c r="R187" s="24">
        <v>25219.95</v>
      </c>
      <c r="S187" s="73">
        <v>25219.95</v>
      </c>
      <c r="T187" s="24">
        <v>25219.95</v>
      </c>
      <c r="U187" s="24">
        <v>25219.95</v>
      </c>
      <c r="V187" s="24">
        <v>25219.95</v>
      </c>
      <c r="W187" s="24">
        <v>25219.95</v>
      </c>
      <c r="X187" s="24">
        <v>25219.95</v>
      </c>
      <c r="Y187" s="24">
        <v>25219.95</v>
      </c>
      <c r="Z187" s="24">
        <v>25219.95</v>
      </c>
      <c r="AB187" s="24"/>
      <c r="AC187" s="28"/>
      <c r="AD187" s="23"/>
    </row>
    <row r="188" spans="1:31" x14ac:dyDescent="0.2">
      <c r="A188" s="83" t="s">
        <v>913</v>
      </c>
      <c r="B188" s="1" t="s">
        <v>115</v>
      </c>
      <c r="C188" s="1" t="s">
        <v>219</v>
      </c>
      <c r="D188" s="1" t="s">
        <v>220</v>
      </c>
      <c r="E188" s="80" t="s">
        <v>438</v>
      </c>
      <c r="F188" s="80" t="s">
        <v>411</v>
      </c>
      <c r="G188" s="80" t="s">
        <v>443</v>
      </c>
      <c r="H188" s="80" t="s">
        <v>718</v>
      </c>
      <c r="I188" s="24">
        <v>44612.955000000002</v>
      </c>
      <c r="J188" s="24">
        <f t="shared" si="2"/>
        <v>40151.659500000002</v>
      </c>
      <c r="K188" s="24">
        <v>49569.95</v>
      </c>
      <c r="L188" s="24">
        <v>49569.95</v>
      </c>
      <c r="M188" s="24">
        <v>49569.95</v>
      </c>
      <c r="N188" s="24">
        <v>49569.95</v>
      </c>
      <c r="O188" s="24">
        <v>49569.95</v>
      </c>
      <c r="P188" s="24">
        <v>49569.95</v>
      </c>
      <c r="Q188" s="24">
        <v>49569.95</v>
      </c>
      <c r="R188" s="24">
        <v>49569.95</v>
      </c>
      <c r="S188" s="73">
        <v>49569.95</v>
      </c>
      <c r="T188" s="24">
        <v>47829.95</v>
      </c>
      <c r="U188" s="24">
        <v>47829.95</v>
      </c>
      <c r="V188" s="24">
        <v>47829.95</v>
      </c>
      <c r="W188" s="24">
        <v>47829.95</v>
      </c>
      <c r="X188" s="24">
        <v>47829.95</v>
      </c>
      <c r="Y188" s="24">
        <v>47829.95</v>
      </c>
      <c r="Z188" s="24">
        <v>47829.95</v>
      </c>
      <c r="AA188" s="24">
        <v>47829.95</v>
      </c>
      <c r="AB188" s="24"/>
      <c r="AC188" s="28"/>
      <c r="AD188" s="23"/>
    </row>
    <row r="189" spans="1:31" x14ac:dyDescent="0.2">
      <c r="A189" s="1" t="s">
        <v>732</v>
      </c>
      <c r="B189" s="67" t="s">
        <v>60</v>
      </c>
      <c r="C189" s="67" t="s">
        <v>206</v>
      </c>
      <c r="D189" s="67" t="s">
        <v>408</v>
      </c>
      <c r="E189" s="84" t="s">
        <v>434</v>
      </c>
      <c r="F189" s="86" t="s">
        <v>345</v>
      </c>
      <c r="G189" s="84" t="s">
        <v>444</v>
      </c>
      <c r="H189" s="84" t="s">
        <v>732</v>
      </c>
      <c r="I189" s="68">
        <v>5480.9549999999999</v>
      </c>
      <c r="J189" s="24">
        <f t="shared" si="2"/>
        <v>4932.8595000000005</v>
      </c>
      <c r="K189" s="68">
        <v>6089.95</v>
      </c>
      <c r="L189" s="68">
        <v>6089.95</v>
      </c>
      <c r="M189" s="68">
        <v>6089.95</v>
      </c>
      <c r="N189" s="68">
        <v>6089.95</v>
      </c>
      <c r="O189" s="68">
        <v>6089.95</v>
      </c>
      <c r="P189" s="68">
        <v>6089.95</v>
      </c>
      <c r="Q189" s="68">
        <v>6089.95</v>
      </c>
      <c r="R189" s="68">
        <v>6089.95</v>
      </c>
      <c r="S189" s="74">
        <v>6089.95</v>
      </c>
      <c r="T189" s="68">
        <v>4779.95</v>
      </c>
      <c r="U189" s="68">
        <v>4779.95</v>
      </c>
      <c r="V189" s="68">
        <v>4779.95</v>
      </c>
      <c r="W189" s="68">
        <v>4779.95</v>
      </c>
      <c r="X189" s="68">
        <v>4779.95</v>
      </c>
      <c r="Y189" s="68">
        <v>6089.95</v>
      </c>
      <c r="Z189" s="68">
        <v>6089.95</v>
      </c>
      <c r="AA189" s="68">
        <v>6089.95</v>
      </c>
      <c r="AB189" s="24"/>
      <c r="AC189" s="28"/>
      <c r="AD189" s="63"/>
      <c r="AE189" s="3"/>
    </row>
    <row r="190" spans="1:31" x14ac:dyDescent="0.2">
      <c r="A190" s="1" t="s">
        <v>732</v>
      </c>
      <c r="B190" s="67" t="s">
        <v>731</v>
      </c>
      <c r="C190" s="67" t="s">
        <v>777</v>
      </c>
      <c r="D190" s="67" t="s">
        <v>778</v>
      </c>
      <c r="E190" s="84" t="s">
        <v>434</v>
      </c>
      <c r="F190" s="84" t="s">
        <v>779</v>
      </c>
      <c r="G190" s="84" t="s">
        <v>445</v>
      </c>
      <c r="H190" s="84" t="s">
        <v>732</v>
      </c>
      <c r="I190" s="68">
        <v>21770.955000000002</v>
      </c>
      <c r="J190" s="24">
        <f t="shared" si="2"/>
        <v>19593.859500000002</v>
      </c>
      <c r="K190" s="68">
        <v>24189.95</v>
      </c>
      <c r="L190" s="68">
        <v>24189.95</v>
      </c>
      <c r="M190" s="68">
        <v>24189.95</v>
      </c>
      <c r="N190" s="68">
        <v>24189.95</v>
      </c>
      <c r="O190" s="68">
        <v>24189.95</v>
      </c>
      <c r="P190" s="68">
        <v>24189.95</v>
      </c>
      <c r="Q190" s="68">
        <v>24189.95</v>
      </c>
      <c r="R190" s="68">
        <v>24189.95</v>
      </c>
      <c r="S190" s="74">
        <v>24189.95</v>
      </c>
      <c r="T190" s="68">
        <v>22609.95</v>
      </c>
      <c r="U190" s="68">
        <v>22609.95</v>
      </c>
      <c r="V190" s="68">
        <v>22609.95</v>
      </c>
      <c r="W190" s="68">
        <v>22609.95</v>
      </c>
      <c r="X190" s="68">
        <v>22609.95</v>
      </c>
      <c r="Y190" s="68">
        <v>22609.95</v>
      </c>
      <c r="Z190" s="68">
        <v>22609.95</v>
      </c>
      <c r="AA190" s="68"/>
      <c r="AB190" s="24"/>
      <c r="AC190" s="28"/>
    </row>
    <row r="191" spans="1:31" x14ac:dyDescent="0.2">
      <c r="A191" s="1" t="s">
        <v>732</v>
      </c>
      <c r="B191" s="67" t="s">
        <v>103</v>
      </c>
      <c r="C191" s="67" t="s">
        <v>737</v>
      </c>
      <c r="D191" s="67" t="s">
        <v>780</v>
      </c>
      <c r="E191" s="84" t="s">
        <v>434</v>
      </c>
      <c r="F191" s="84" t="s">
        <v>738</v>
      </c>
      <c r="G191" s="84" t="s">
        <v>445</v>
      </c>
      <c r="H191" s="84" t="s">
        <v>732</v>
      </c>
      <c r="I191" s="68">
        <v>9404.9550000000017</v>
      </c>
      <c r="J191" s="24">
        <f t="shared" si="2"/>
        <v>8464.4595000000027</v>
      </c>
      <c r="K191" s="68">
        <v>10449.950000000001</v>
      </c>
      <c r="L191" s="68">
        <v>10449.950000000001</v>
      </c>
      <c r="M191" s="68">
        <v>10449.950000000001</v>
      </c>
      <c r="N191" s="68">
        <v>10449.950000000001</v>
      </c>
      <c r="O191" s="68">
        <v>10449.950000000001</v>
      </c>
      <c r="P191" s="68">
        <v>10449.950000000001</v>
      </c>
      <c r="Q191" s="68">
        <v>10449.950000000001</v>
      </c>
      <c r="R191" s="68">
        <v>10449.950000000001</v>
      </c>
      <c r="S191" s="74">
        <v>10449.950000000001</v>
      </c>
      <c r="T191" s="68">
        <v>10299.950000000001</v>
      </c>
      <c r="U191" s="68">
        <v>10299.950000000001</v>
      </c>
      <c r="V191" s="68">
        <v>10299.950000000001</v>
      </c>
      <c r="W191" s="68">
        <v>10299.950000000001</v>
      </c>
      <c r="X191" s="68">
        <v>10299.950000000001</v>
      </c>
      <c r="Y191" s="68">
        <v>10299.950000000001</v>
      </c>
      <c r="Z191" s="68">
        <v>10299.950000000001</v>
      </c>
      <c r="AA191" s="68"/>
      <c r="AB191" s="24"/>
      <c r="AC191" s="28"/>
    </row>
    <row r="192" spans="1:31" x14ac:dyDescent="0.2">
      <c r="A192" s="83" t="s">
        <v>913</v>
      </c>
      <c r="B192" s="1" t="s">
        <v>504</v>
      </c>
      <c r="C192" s="1" t="s">
        <v>523</v>
      </c>
      <c r="D192" s="1" t="s">
        <v>505</v>
      </c>
      <c r="E192" s="80" t="s">
        <v>438</v>
      </c>
      <c r="F192" s="85" t="s">
        <v>524</v>
      </c>
      <c r="G192" s="80" t="s">
        <v>443</v>
      </c>
      <c r="H192" s="80" t="s">
        <v>718</v>
      </c>
      <c r="I192" s="24">
        <v>117395.955</v>
      </c>
      <c r="J192" s="24">
        <f t="shared" si="2"/>
        <v>105656.35950000001</v>
      </c>
      <c r="K192" s="24">
        <v>130439.95</v>
      </c>
      <c r="L192" s="24">
        <v>130439.95</v>
      </c>
      <c r="M192" s="24">
        <v>130439.95</v>
      </c>
      <c r="N192" s="24">
        <v>130439.95</v>
      </c>
      <c r="O192" s="24">
        <v>130439.95</v>
      </c>
      <c r="P192" s="24">
        <v>130439.95</v>
      </c>
      <c r="Q192" s="24">
        <v>130439.95</v>
      </c>
      <c r="R192" s="24">
        <v>130439.95</v>
      </c>
      <c r="S192" s="73">
        <v>130439.95</v>
      </c>
      <c r="T192" s="24">
        <v>124349.95</v>
      </c>
      <c r="U192" s="24">
        <v>124349.95</v>
      </c>
      <c r="V192" s="24">
        <v>124349.95</v>
      </c>
      <c r="W192" s="24">
        <v>124349.95</v>
      </c>
      <c r="X192" s="24">
        <v>124349.95</v>
      </c>
      <c r="Y192" s="24">
        <v>124349.95</v>
      </c>
      <c r="Z192" s="24">
        <v>124349.95</v>
      </c>
      <c r="AA192" s="24">
        <v>121739.95</v>
      </c>
      <c r="AB192" s="24"/>
      <c r="AC192" s="28"/>
      <c r="AD192" s="23"/>
    </row>
    <row r="193" spans="1:30" x14ac:dyDescent="0.2">
      <c r="A193" s="83" t="s">
        <v>913</v>
      </c>
      <c r="B193" s="1" t="s">
        <v>370</v>
      </c>
      <c r="C193" s="1" t="s">
        <v>383</v>
      </c>
      <c r="D193" s="1" t="s">
        <v>380</v>
      </c>
      <c r="E193" s="80" t="s">
        <v>438</v>
      </c>
      <c r="F193" s="85" t="s">
        <v>385</v>
      </c>
      <c r="G193" s="80" t="s">
        <v>443</v>
      </c>
      <c r="H193" s="80" t="s">
        <v>718</v>
      </c>
      <c r="I193" s="24">
        <v>10961.955000000002</v>
      </c>
      <c r="J193" s="24">
        <f t="shared" si="2"/>
        <v>9865.7595000000019</v>
      </c>
      <c r="K193" s="24">
        <v>12179.95</v>
      </c>
      <c r="L193" s="24">
        <v>12179.95</v>
      </c>
      <c r="M193" s="24">
        <v>12179.95</v>
      </c>
      <c r="N193" s="24">
        <v>12179.95</v>
      </c>
      <c r="O193" s="24">
        <v>12179.95</v>
      </c>
      <c r="P193" s="24">
        <v>12179.95</v>
      </c>
      <c r="Q193" s="24">
        <v>12179.95</v>
      </c>
      <c r="R193" s="24">
        <v>12179.95</v>
      </c>
      <c r="S193" s="73">
        <v>12179.95</v>
      </c>
      <c r="T193" s="24">
        <v>11309.95</v>
      </c>
      <c r="U193" s="24">
        <v>11309.95</v>
      </c>
      <c r="V193" s="24">
        <v>11309.95</v>
      </c>
      <c r="W193" s="24">
        <v>11309.95</v>
      </c>
      <c r="X193" s="24">
        <v>11309.95</v>
      </c>
      <c r="Y193" s="24">
        <v>11309.95</v>
      </c>
      <c r="Z193" s="24">
        <v>11309.95</v>
      </c>
      <c r="AA193" s="24">
        <v>10869.95</v>
      </c>
      <c r="AB193" s="24"/>
      <c r="AC193" s="28"/>
      <c r="AD193" s="23"/>
    </row>
    <row r="194" spans="1:30" x14ac:dyDescent="0.2">
      <c r="A194" s="83" t="s">
        <v>913</v>
      </c>
      <c r="B194" s="1" t="s">
        <v>371</v>
      </c>
      <c r="C194" s="1" t="s">
        <v>384</v>
      </c>
      <c r="D194" s="1" t="s">
        <v>381</v>
      </c>
      <c r="E194" s="80" t="s">
        <v>438</v>
      </c>
      <c r="F194" s="85" t="s">
        <v>386</v>
      </c>
      <c r="G194" s="80" t="s">
        <v>443</v>
      </c>
      <c r="H194" s="80" t="s">
        <v>718</v>
      </c>
      <c r="I194" s="24">
        <v>11744.955000000002</v>
      </c>
      <c r="J194" s="24">
        <f t="shared" si="2"/>
        <v>10570.459500000003</v>
      </c>
      <c r="K194" s="24">
        <v>13049.95</v>
      </c>
      <c r="L194" s="24">
        <v>13049.95</v>
      </c>
      <c r="M194" s="24">
        <v>13049.95</v>
      </c>
      <c r="N194" s="24">
        <v>13049.95</v>
      </c>
      <c r="O194" s="24">
        <v>13049.95</v>
      </c>
      <c r="P194" s="24">
        <v>13049.95</v>
      </c>
      <c r="Q194" s="24">
        <v>13049.95</v>
      </c>
      <c r="R194" s="24">
        <v>13049.95</v>
      </c>
      <c r="S194" s="73">
        <v>13049.95</v>
      </c>
      <c r="T194" s="24">
        <v>12179.95</v>
      </c>
      <c r="U194" s="24">
        <v>12179.95</v>
      </c>
      <c r="V194" s="24">
        <v>12179.95</v>
      </c>
      <c r="W194" s="24">
        <v>12179.95</v>
      </c>
      <c r="X194" s="24">
        <v>12179.95</v>
      </c>
      <c r="Y194" s="24">
        <v>12179.95</v>
      </c>
      <c r="Z194" s="24">
        <v>12179.95</v>
      </c>
      <c r="AA194" s="24">
        <v>11749.95</v>
      </c>
      <c r="AB194" s="24"/>
      <c r="AC194" s="28"/>
      <c r="AD194" s="23"/>
    </row>
    <row r="213" spans="4:4" x14ac:dyDescent="0.2">
      <c r="D213" s="79"/>
    </row>
  </sheetData>
  <autoFilter ref="A2:AE194" xr:uid="{22BFF77B-6DA4-48CC-A455-BBF92774AF6D}"/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18</vt:i4>
      </vt:variant>
    </vt:vector>
  </HeadingPairs>
  <TitlesOfParts>
    <vt:vector size="38" baseType="lpstr">
      <vt:lpstr>Index</vt:lpstr>
      <vt:lpstr>Z9</vt:lpstr>
      <vt:lpstr>Z8</vt:lpstr>
      <vt:lpstr>Z7 II</vt:lpstr>
      <vt:lpstr>Z6 III</vt:lpstr>
      <vt:lpstr>Z6 II</vt:lpstr>
      <vt:lpstr>Z5</vt:lpstr>
      <vt:lpstr>Z f</vt:lpstr>
      <vt:lpstr>Z fc</vt:lpstr>
      <vt:lpstr>Z50 II</vt:lpstr>
      <vt:lpstr>Z30</vt:lpstr>
      <vt:lpstr>Z Lenses - Wide Angle</vt:lpstr>
      <vt:lpstr>Z Lenses - Standard</vt:lpstr>
      <vt:lpstr>Z Lenses - Zoom</vt:lpstr>
      <vt:lpstr>Z Lenses - Converters</vt:lpstr>
      <vt:lpstr>Speedlights</vt:lpstr>
      <vt:lpstr>Compact Digital Cameras</vt:lpstr>
      <vt:lpstr>Product List</vt:lpstr>
      <vt:lpstr>Miscellaneous</vt:lpstr>
      <vt:lpstr>Master Sheet</vt:lpstr>
      <vt:lpstr>'Compact Digital Cameras'!Print_Area</vt:lpstr>
      <vt:lpstr>Miscellaneous!Print_Area</vt:lpstr>
      <vt:lpstr>'Product List'!Print_Area</vt:lpstr>
      <vt:lpstr>Speedlights!Print_Area</vt:lpstr>
      <vt:lpstr>'Z f'!Print_Area</vt:lpstr>
      <vt:lpstr>'Z fc'!Print_Area</vt:lpstr>
      <vt:lpstr>'Z Lenses - Converters'!Print_Area</vt:lpstr>
      <vt:lpstr>'Z Lenses - Standard'!Print_Area</vt:lpstr>
      <vt:lpstr>'Z Lenses - Wide Angle'!Print_Area</vt:lpstr>
      <vt:lpstr>'Z Lenses - Zoom'!Print_Area</vt:lpstr>
      <vt:lpstr>'Z30'!Print_Area</vt:lpstr>
      <vt:lpstr>'Z5'!Print_Area</vt:lpstr>
      <vt:lpstr>'Z50 II'!Print_Area</vt:lpstr>
      <vt:lpstr>'Z6 II'!Print_Area</vt:lpstr>
      <vt:lpstr>'Z6 III'!Print_Area</vt:lpstr>
      <vt:lpstr>'Z7 II'!Print_Area</vt:lpstr>
      <vt:lpstr>'Z8'!Print_Area</vt:lpstr>
      <vt:lpstr>'Z9'!Print_Area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Riaan van der Merwe</dc:creator>
  <cp:lastModifiedBy>Steven Jackson</cp:lastModifiedBy>
  <cp:lastPrinted>2023-05-25T19:10:12Z</cp:lastPrinted>
  <dcterms:created xsi:type="dcterms:W3CDTF">2020-02-10T19:33:24Z</dcterms:created>
  <dcterms:modified xsi:type="dcterms:W3CDTF">2025-01-02T10:00:28Z</dcterms:modified>
</cp:coreProperties>
</file>